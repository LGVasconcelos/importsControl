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Estoque Atual" sheetId="1" r:id="rId5"/>
    <sheet state="visible" name="2. Custos Detalhados" sheetId="2" r:id="rId6"/>
    <sheet state="visible" name="3. Precificação e Margem" sheetId="3" r:id="rId7"/>
    <sheet state="visible" name="4. Resumo Financeiro" sheetId="4" r:id="rId8"/>
  </sheets>
  <definedNames/>
  <calcPr/>
</workbook>
</file>

<file path=xl/sharedStrings.xml><?xml version="1.0" encoding="utf-8"?>
<sst xmlns="http://schemas.openxmlformats.org/spreadsheetml/2006/main" count="288" uniqueCount="112">
  <si>
    <t>BMW / PORSCHE / VW / BYD  –  ESTOQUE CONSOLIDADO</t>
  </si>
  <si>
    <t>Status: 'A caminho' = ainda não recebido. Atualize para 'Em estoque' quando chegar.</t>
  </si>
  <si>
    <t>Produto</t>
  </si>
  <si>
    <t>Qtd</t>
  </si>
  <si>
    <t>Origem</t>
  </si>
  <si>
    <t>Status</t>
  </si>
  <si>
    <t>Peso Unit. (g)</t>
  </si>
  <si>
    <t>Peso Total (g)</t>
  </si>
  <si>
    <t>Observação</t>
  </si>
  <si>
    <t xml:space="preserve">  🚗  STARTER KIT BMW</t>
  </si>
  <si>
    <t>Starter Kit BMW (padrão)</t>
  </si>
  <si>
    <t>CSS Buy 1, AliExpress, CSS Buy 3</t>
  </si>
  <si>
    <t>A caminho</t>
  </si>
  <si>
    <t>Starter Kit BMW (diamante)</t>
  </si>
  <si>
    <t>CSS Buy 3</t>
  </si>
  <si>
    <t xml:space="preserve">  🌿  REFIS BMW</t>
  </si>
  <si>
    <t>Refil BMW – Forest Air</t>
  </si>
  <si>
    <t>CSS Buy 2, AliExpress</t>
  </si>
  <si>
    <t>Refil BMW – Mystical Savannah</t>
  </si>
  <si>
    <t>AliExpress, CSS Buy 3</t>
  </si>
  <si>
    <t>Refil BMW – Endless Desert</t>
  </si>
  <si>
    <t>Refil BMW – Relaxing Ocean</t>
  </si>
  <si>
    <t>Refil BMW – Mountain View</t>
  </si>
  <si>
    <t>CSS Buy 1, CSS Buy 3</t>
  </si>
  <si>
    <t xml:space="preserve">  💨  AROMATIZANTES NITRO NOS</t>
  </si>
  <si>
    <t>Aromatizante Nitro NOS (vermelho)</t>
  </si>
  <si>
    <t>CSS Buy 2</t>
  </si>
  <si>
    <t>Aromatizante Nitro NOS (azul)</t>
  </si>
  <si>
    <t xml:space="preserve">  🔑  CAPAS DE CHAVE – PORSCHE</t>
  </si>
  <si>
    <t>Capa de Chave Porsche (azul)</t>
  </si>
  <si>
    <t>Capa de Chave Porsche (vermelha)</t>
  </si>
  <si>
    <t>Capa de Chave Porsche (preta)</t>
  </si>
  <si>
    <t xml:space="preserve">  🔑  CAPAS DE CHAVE – BYD</t>
  </si>
  <si>
    <t>Capa de Chave BYD (azul escura)</t>
  </si>
  <si>
    <t>Capa de Chave BYD (marrom)</t>
  </si>
  <si>
    <t>Capa de Chave BYD (cinza)</t>
  </si>
  <si>
    <t xml:space="preserve">  🏎️  PADDLE SHIFT – VOLKSWAGEN</t>
  </si>
  <si>
    <t>Paddle Shift Volkswagen (preta)</t>
  </si>
  <si>
    <t>Paddle Shift Volkswagen (prata)</t>
  </si>
  <si>
    <t>Paddle Shift Volkswagen (vermelha)</t>
  </si>
  <si>
    <t xml:space="preserve">  🏆  ARTIGOS PORSCHE (LIFESTYLE)</t>
  </si>
  <si>
    <t>Copo Porsche (preto)</t>
  </si>
  <si>
    <t>Caderno Porsche</t>
  </si>
  <si>
    <t>TOTAL DE UNIDADES EM ESTOQUE</t>
  </si>
  <si>
    <t>BMW / PORSCHE / VW / BYD  –  CUSTOS DETALHADOS POR PRODUTO</t>
  </si>
  <si>
    <t xml:space="preserve">  ⚙  PREMISSAS</t>
  </si>
  <si>
    <t>Cotação yuan → BRL (yuan ÷ cotação = R$)</t>
  </si>
  <si>
    <t xml:space="preserve">  📦  FRETES CSS BUY (proporcional ao peso de cada produto) - Sem caixa, proteções, etc</t>
  </si>
  <si>
    <t>Pacote</t>
  </si>
  <si>
    <t>Frete Total (yuan)</t>
  </si>
  <si>
    <t>Frete Total (R$)</t>
  </si>
  <si>
    <t>Peso Útil Total (g)</t>
  </si>
  <si>
    <t>Peso Calculado (g)</t>
  </si>
  <si>
    <t>CSS Buy 1</t>
  </si>
  <si>
    <t>Custo Unit.
(yuan)</t>
  </si>
  <si>
    <t>Custo Unit.
(R$)</t>
  </si>
  <si>
    <t>Frete Unit.
(yuan)</t>
  </si>
  <si>
    <t>Frete Unit.
(R$)</t>
  </si>
  <si>
    <t>Custo Total c/
Frete (R$)</t>
  </si>
  <si>
    <t>Custo Total
Estoque (R$) - sem o frete</t>
  </si>
  <si>
    <t>AliExpress</t>
  </si>
  <si>
    <t>–</t>
  </si>
  <si>
    <t>INVESTIMENTO TOTAL (produtos + frete proporcional) (R$)</t>
  </si>
  <si>
    <t>BMW / PORSCHE / VW / BYD  –  PRECIFICAÇÃO E MARGEM POR PRODUTO</t>
  </si>
  <si>
    <t xml:space="preserve">  ⚙  PREMISSAS DE VENDA  (células amarelas = você preenche)</t>
  </si>
  <si>
    <t>Taxa Mercado Livre (%)</t>
  </si>
  <si>
    <t>Custo Envio por Pedido (R$)</t>
  </si>
  <si>
    <t xml:space="preserve">  📊  REFERÊNCIA – VENDAS ANTERIORES (lote inicial)</t>
  </si>
  <si>
    <t>Preço Venda (R$)</t>
  </si>
  <si>
    <t>Recebido Líq. ML (R$)</t>
  </si>
  <si>
    <t>Starter Kit BMW</t>
  </si>
  <si>
    <t>R$175 – R$195</t>
  </si>
  <si>
    <t>~R$135 médio</t>
  </si>
  <si>
    <t>Lote inicial – já vendido</t>
  </si>
  <si>
    <t>Refil BMW (pack/un)</t>
  </si>
  <si>
    <t>R$92 – R$102</t>
  </si>
  <si>
    <t>Custo Unit.
c/ Frete (R$)</t>
  </si>
  <si>
    <t>Preço Venda
(R$) ← você define</t>
  </si>
  <si>
    <t>Taxa ML
(R$)</t>
  </si>
  <si>
    <t>Custo Envio
(R$)</t>
  </si>
  <si>
    <t>Lucro Unit.
Líquido (R$)</t>
  </si>
  <si>
    <t>Margem
Líquida (%)</t>
  </si>
  <si>
    <t>Receita Total
Líquida (R$)</t>
  </si>
  <si>
    <t>LUCRO LÍQUIDO TOTAL (todos os produtos)</t>
  </si>
  <si>
    <t>💡  Preencha apenas a coluna amarela (Preço Venda). O lucro e margem são calculados automaticamente descontando custo, taxa ML e envio.</t>
  </si>
  <si>
    <t>BMW / PORSCHE / VW / BYD  –  RESUMO FINANCEIRO E DIVISÃO</t>
  </si>
  <si>
    <t>Item</t>
  </si>
  <si>
    <t>Valor (R$)</t>
  </si>
  <si>
    <t>% Receita</t>
  </si>
  <si>
    <t>Notas</t>
  </si>
  <si>
    <t xml:space="preserve">  INVESTIMENTO</t>
  </si>
  <si>
    <t>Custo total produtos + frete proporcional</t>
  </si>
  <si>
    <t>Todos os pacotes</t>
  </si>
  <si>
    <t>(+) Taxas de importação / RFB</t>
  </si>
  <si>
    <t>Preencher quando chegar</t>
  </si>
  <si>
    <t>INVESTIMENTO TOTAL</t>
  </si>
  <si>
    <t xml:space="preserve">  RECEITAS</t>
  </si>
  <si>
    <t>Receita Bruta (Preço × Qtd)</t>
  </si>
  <si>
    <t>100%</t>
  </si>
  <si>
    <t>Soma de todas as vendas</t>
  </si>
  <si>
    <t>(–) Taxas ML</t>
  </si>
  <si>
    <t>~14%</t>
  </si>
  <si>
    <t>(–) Custos de Envio</t>
  </si>
  <si>
    <t>Embalagem + envio</t>
  </si>
  <si>
    <t>RECEITA LÍQUIDA DE VENDAS</t>
  </si>
  <si>
    <t xml:space="preserve">  RESULTADO</t>
  </si>
  <si>
    <t>LUCRO BRUTO</t>
  </si>
  <si>
    <t>Receita Líq. – Investimento</t>
  </si>
  <si>
    <t xml:space="preserve">  DIVISÃO ENTRE SÓCIOS</t>
  </si>
  <si>
    <t>Sócio 1 (50%)</t>
  </si>
  <si>
    <t>Ajuste se necessário</t>
  </si>
  <si>
    <t>Sócio 2 (50%)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</si>
</sst>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$ &quot;#,##0.00"/>
    <numFmt numFmtId="165" formatCode="0.0%"/>
  </numFmts>
  <fonts count="13">
    <font>
      <sz val="11.0"/>
      <color theme="1"/>
      <name val="Calibri"/>
      <scheme val="minor"/>
    </font>
    <font>
      <b/>
      <sz val="13.0"/>
      <color rgb="FFFFFFFF"/>
      <name val="Arial"/>
    </font>
    <font/>
    <font>
      <i/>
      <sz val="9.0"/>
      <color rgb="FF595959"/>
      <name val="Arial"/>
    </font>
    <font>
      <sz val="11.0"/>
      <color theme="1"/>
      <name val="Calibri"/>
    </font>
    <font>
      <b/>
      <sz val="9.0"/>
      <color rgb="FFFFFFFF"/>
      <name val="Arial"/>
    </font>
    <font>
      <b/>
      <sz val="10.0"/>
      <color rgb="FFFFFFFF"/>
      <name val="Arial"/>
    </font>
    <font>
      <sz val="10.0"/>
      <color rgb="FF000000"/>
      <name val="Arial"/>
    </font>
    <font>
      <b/>
      <sz val="10.0"/>
      <color rgb="FF000000"/>
      <name val="Arial"/>
    </font>
    <font>
      <sz val="9.0"/>
      <color rgb="FF000000"/>
      <name val="Arial"/>
    </font>
    <font>
      <sz val="10.0"/>
      <color rgb="FF0000FF"/>
      <name val="Arial"/>
    </font>
    <font>
      <sz val="10.0"/>
      <color rgb="FF595959"/>
      <name val="Arial"/>
    </font>
    <font>
      <i/>
      <sz val="9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BDD7EE"/>
        <bgColor rgb="FFBDD7EE"/>
      </patternFill>
    </fill>
  </fills>
  <borders count="6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shrinkToFit="0" vertical="bottom" wrapText="0"/>
    </xf>
    <xf borderId="4" fillId="2" fontId="5" numFmtId="0" xfId="0" applyAlignment="1" applyBorder="1" applyFont="1">
      <alignment horizontal="center" shrinkToFit="0" vertical="center" wrapText="1"/>
    </xf>
    <xf borderId="1" fillId="3" fontId="6" numFmtId="0" xfId="0" applyAlignment="1" applyBorder="1" applyFill="1" applyFont="1">
      <alignment horizontal="left" shrinkToFit="0" vertical="center" wrapText="1"/>
    </xf>
    <xf borderId="4" fillId="0" fontId="7" numFmtId="0" xfId="0" applyAlignment="1" applyBorder="1" applyFont="1">
      <alignment horizontal="left" shrinkToFit="0" vertical="center" wrapText="1"/>
    </xf>
    <xf borderId="4" fillId="4" fontId="8" numFmtId="0" xfId="0" applyAlignment="1" applyBorder="1" applyFill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5" fontId="9" numFmtId="0" xfId="0" applyAlignment="1" applyBorder="1" applyFill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4" fillId="0" fontId="7" numFmtId="3" xfId="0" applyAlignment="1" applyBorder="1" applyFont="1" applyNumberFormat="1">
      <alignment horizontal="center" shrinkToFit="0" vertical="center" wrapText="1"/>
    </xf>
    <xf borderId="4" fillId="2" fontId="6" numFmtId="0" xfId="0" applyAlignment="1" applyBorder="1" applyFont="1">
      <alignment horizontal="left" shrinkToFit="0" vertical="center" wrapText="1"/>
    </xf>
    <xf borderId="4" fillId="2" fontId="6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shrinkToFit="0" vertical="bottom" wrapText="0"/>
    </xf>
    <xf borderId="4" fillId="0" fontId="8" numFmtId="0" xfId="0" applyAlignment="1" applyBorder="1" applyFont="1">
      <alignment horizontal="left" shrinkToFit="0" vertical="center" wrapText="1"/>
    </xf>
    <xf borderId="4" fillId="6" fontId="10" numFmtId="2" xfId="0" applyAlignment="1" applyBorder="1" applyFill="1" applyFont="1" applyNumberFormat="1">
      <alignment horizontal="center" shrinkToFit="0" vertical="center" wrapText="1"/>
    </xf>
    <xf borderId="1" fillId="3" fontId="6" numFmtId="0" xfId="0" applyAlignment="1" applyBorder="1" applyFont="1">
      <alignment horizontal="left" readingOrder="0" shrinkToFit="0" vertical="center" wrapText="1"/>
    </xf>
    <xf borderId="4" fillId="6" fontId="10" numFmtId="4" xfId="0" applyAlignment="1" applyBorder="1" applyFont="1" applyNumberFormat="1">
      <alignment horizontal="center" shrinkToFit="0" vertical="center" wrapText="1"/>
    </xf>
    <xf borderId="4" fillId="0" fontId="7" numFmtId="164" xfId="0" applyAlignment="1" applyBorder="1" applyFont="1" applyNumberFormat="1">
      <alignment horizontal="center" shrinkToFit="0" vertical="center" wrapText="1"/>
    </xf>
    <xf borderId="4" fillId="7" fontId="7" numFmtId="3" xfId="0" applyAlignment="1" applyBorder="1" applyFill="1" applyFont="1" applyNumberFormat="1">
      <alignment horizontal="center" shrinkToFit="0" vertical="center" wrapText="1"/>
    </xf>
    <xf borderId="4" fillId="2" fontId="5" numFmtId="0" xfId="0" applyAlignment="1" applyBorder="1" applyFont="1">
      <alignment horizontal="center" readingOrder="0" shrinkToFit="0" vertical="center" wrapText="1"/>
    </xf>
    <xf borderId="4" fillId="7" fontId="11" numFmtId="0" xfId="0" applyAlignment="1" applyBorder="1" applyFont="1">
      <alignment horizontal="center" shrinkToFit="0" vertical="center" wrapText="1"/>
    </xf>
    <xf borderId="4" fillId="6" fontId="10" numFmtId="164" xfId="0" applyAlignment="1" applyBorder="1" applyFont="1" applyNumberFormat="1">
      <alignment horizontal="center" shrinkToFit="0" vertical="center" wrapText="1"/>
    </xf>
    <xf borderId="4" fillId="7" fontId="7" numFmtId="4" xfId="0" applyAlignment="1" applyBorder="1" applyFont="1" applyNumberFormat="1">
      <alignment horizontal="center" shrinkToFit="0" vertical="center" wrapText="1"/>
    </xf>
    <xf borderId="4" fillId="4" fontId="8" numFmtId="164" xfId="0" applyAlignment="1" applyBorder="1" applyFont="1" applyNumberFormat="1">
      <alignment horizontal="center" shrinkToFit="0" vertical="center" wrapText="1"/>
    </xf>
    <xf borderId="1" fillId="2" fontId="6" numFmtId="0" xfId="0" applyAlignment="1" applyBorder="1" applyFont="1">
      <alignment horizontal="left" shrinkToFit="0" vertical="center" wrapText="1"/>
    </xf>
    <xf borderId="5" fillId="0" fontId="2" numFmtId="0" xfId="0" applyBorder="1" applyFont="1"/>
    <xf borderId="4" fillId="2" fontId="6" numFmtId="164" xfId="0" applyAlignment="1" applyBorder="1" applyFont="1" applyNumberFormat="1">
      <alignment horizontal="center" shrinkToFit="0" vertical="center" wrapText="1"/>
    </xf>
    <xf borderId="4" fillId="6" fontId="10" numFmtId="10" xfId="0" applyAlignment="1" applyBorder="1" applyFont="1" applyNumberFormat="1">
      <alignment horizontal="center" readingOrder="0" shrinkToFit="0" vertical="center" wrapText="1"/>
    </xf>
    <xf borderId="4" fillId="6" fontId="10" numFmtId="164" xfId="0" applyAlignment="1" applyBorder="1" applyFont="1" applyNumberFormat="1">
      <alignment horizontal="center" readingOrder="0" shrinkToFit="0" vertical="center" wrapText="1"/>
    </xf>
    <xf borderId="4" fillId="7" fontId="7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7" fontId="7" numFmtId="0" xfId="0" applyAlignment="1" applyBorder="1" applyFont="1">
      <alignment horizontal="center" readingOrder="0" shrinkToFit="0" vertical="center" wrapText="1"/>
    </xf>
    <xf borderId="4" fillId="7" fontId="7" numFmtId="164" xfId="0" applyAlignment="1" applyBorder="1" applyFont="1" applyNumberFormat="1">
      <alignment horizontal="center" shrinkToFit="0" vertical="center" wrapText="1"/>
    </xf>
    <xf borderId="4" fillId="0" fontId="8" numFmtId="165" xfId="0" applyAlignment="1" applyBorder="1" applyFont="1" applyNumberFormat="1">
      <alignment horizontal="center" shrinkToFit="0" vertical="center" wrapText="1"/>
    </xf>
    <xf borderId="4" fillId="0" fontId="7" numFmtId="164" xfId="0" applyAlignment="1" applyBorder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4" fillId="0" fontId="7" numFmtId="165" xfId="0" applyAlignment="1" applyBorder="1" applyFont="1" applyNumberFormat="1">
      <alignment horizontal="center" shrinkToFit="0" vertical="center" wrapText="1"/>
    </xf>
    <xf borderId="4" fillId="8" fontId="8" numFmtId="0" xfId="0" applyAlignment="1" applyBorder="1" applyFill="1" applyFont="1">
      <alignment horizontal="left" shrinkToFit="0" vertical="center" wrapText="1"/>
    </xf>
    <xf borderId="4" fillId="8" fontId="8" numFmtId="164" xfId="0" applyAlignment="1" applyBorder="1" applyFont="1" applyNumberFormat="1">
      <alignment horizontal="center" shrinkToFit="0" vertical="center" wrapText="1"/>
    </xf>
    <xf borderId="4" fillId="8" fontId="8" numFmtId="165" xfId="0" applyAlignment="1" applyBorder="1" applyFont="1" applyNumberFormat="1">
      <alignment horizontal="center" shrinkToFit="0" vertical="center" wrapText="1"/>
    </xf>
    <xf borderId="4" fillId="8" fontId="12" numFmtId="0" xfId="0" applyAlignment="1" applyBorder="1" applyFont="1">
      <alignment horizontal="left" shrinkToFit="0" vertical="center" wrapText="1"/>
    </xf>
    <xf borderId="4" fillId="2" fontId="6" numFmtId="165" xfId="0" applyAlignment="1" applyBorder="1" applyFont="1" applyNumberFormat="1">
      <alignment horizontal="center" shrinkToFit="0" vertical="center" wrapText="1"/>
    </xf>
    <xf borderId="4" fillId="2" fontId="1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4.0"/>
    <col customWidth="1" min="2" max="2" width="10.0"/>
    <col customWidth="1" min="3" max="3" width="14.0"/>
    <col customWidth="1" min="4" max="5" width="12.0"/>
    <col customWidth="1" min="6" max="7" width="16.0"/>
    <col customWidth="1" min="8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3"/>
    </row>
    <row r="2" ht="18.0" customHeight="1">
      <c r="A2" s="4" t="s">
        <v>1</v>
      </c>
      <c r="B2" s="2"/>
      <c r="C2" s="2"/>
      <c r="D2" s="2"/>
      <c r="E2" s="2"/>
      <c r="F2" s="2"/>
      <c r="G2" s="2"/>
    </row>
    <row r="3" ht="6.0" customHeight="1">
      <c r="A3" s="5"/>
      <c r="B3" s="5"/>
      <c r="C3" s="5"/>
      <c r="D3" s="5"/>
      <c r="E3" s="5"/>
      <c r="F3" s="5"/>
      <c r="G3" s="5"/>
    </row>
    <row r="4" ht="31.5" customHeigh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</row>
    <row r="5" ht="18.0" customHeight="1">
      <c r="A5" s="7" t="s">
        <v>9</v>
      </c>
      <c r="B5" s="2"/>
      <c r="C5" s="2"/>
      <c r="D5" s="2"/>
      <c r="E5" s="2"/>
      <c r="F5" s="2"/>
      <c r="G5" s="3"/>
    </row>
    <row r="6" ht="18.0" customHeight="1">
      <c r="A6" s="8" t="s">
        <v>10</v>
      </c>
      <c r="B6" s="9">
        <v>35.0</v>
      </c>
      <c r="C6" s="10" t="s">
        <v>11</v>
      </c>
      <c r="D6" s="11" t="s">
        <v>12</v>
      </c>
      <c r="E6" s="12">
        <v>72.0</v>
      </c>
      <c r="F6" s="13">
        <f t="shared" ref="F6:F7" si="1">B6*E6</f>
        <v>2520</v>
      </c>
      <c r="G6" s="8"/>
    </row>
    <row r="7" ht="18.0" customHeight="1">
      <c r="A7" s="8" t="s">
        <v>13</v>
      </c>
      <c r="B7" s="9">
        <v>5.0</v>
      </c>
      <c r="C7" s="10" t="s">
        <v>14</v>
      </c>
      <c r="D7" s="11" t="s">
        <v>12</v>
      </c>
      <c r="E7" s="12">
        <v>72.0</v>
      </c>
      <c r="F7" s="13">
        <f t="shared" si="1"/>
        <v>360</v>
      </c>
      <c r="G7" s="8"/>
    </row>
    <row r="8" ht="18.0" customHeight="1">
      <c r="A8" s="7" t="s">
        <v>15</v>
      </c>
      <c r="B8" s="2"/>
      <c r="C8" s="2"/>
      <c r="D8" s="2"/>
      <c r="E8" s="2"/>
      <c r="F8" s="2"/>
      <c r="G8" s="3"/>
    </row>
    <row r="9" ht="18.0" customHeight="1">
      <c r="A9" s="8" t="s">
        <v>16</v>
      </c>
      <c r="B9" s="9">
        <v>13.0</v>
      </c>
      <c r="C9" s="10" t="s">
        <v>17</v>
      </c>
      <c r="D9" s="11" t="s">
        <v>12</v>
      </c>
      <c r="E9" s="12">
        <v>33.0</v>
      </c>
      <c r="F9" s="13">
        <f t="shared" ref="F9:F13" si="2">B9*E9</f>
        <v>429</v>
      </c>
      <c r="G9" s="8"/>
    </row>
    <row r="10" ht="18.0" customHeight="1">
      <c r="A10" s="8" t="s">
        <v>18</v>
      </c>
      <c r="B10" s="9">
        <v>7.0</v>
      </c>
      <c r="C10" s="10" t="s">
        <v>19</v>
      </c>
      <c r="D10" s="11" t="s">
        <v>12</v>
      </c>
      <c r="E10" s="12">
        <v>33.0</v>
      </c>
      <c r="F10" s="13">
        <f t="shared" si="2"/>
        <v>231</v>
      </c>
      <c r="G10" s="8"/>
    </row>
    <row r="11" ht="18.0" customHeight="1">
      <c r="A11" s="8" t="s">
        <v>20</v>
      </c>
      <c r="B11" s="9">
        <v>13.0</v>
      </c>
      <c r="C11" s="10" t="s">
        <v>17</v>
      </c>
      <c r="D11" s="11" t="s">
        <v>12</v>
      </c>
      <c r="E11" s="12">
        <v>33.0</v>
      </c>
      <c r="F11" s="13">
        <f t="shared" si="2"/>
        <v>429</v>
      </c>
      <c r="G11" s="8"/>
    </row>
    <row r="12" ht="18.0" customHeight="1">
      <c r="A12" s="8" t="s">
        <v>21</v>
      </c>
      <c r="B12" s="9">
        <v>34.0</v>
      </c>
      <c r="C12" s="10" t="s">
        <v>11</v>
      </c>
      <c r="D12" s="11" t="s">
        <v>12</v>
      </c>
      <c r="E12" s="12">
        <v>33.0</v>
      </c>
      <c r="F12" s="13">
        <f t="shared" si="2"/>
        <v>1122</v>
      </c>
      <c r="G12" s="8"/>
    </row>
    <row r="13" ht="18.0" customHeight="1">
      <c r="A13" s="8" t="s">
        <v>22</v>
      </c>
      <c r="B13" s="9">
        <v>11.0</v>
      </c>
      <c r="C13" s="10" t="s">
        <v>23</v>
      </c>
      <c r="D13" s="11" t="s">
        <v>12</v>
      </c>
      <c r="E13" s="12">
        <v>33.0</v>
      </c>
      <c r="F13" s="13">
        <f t="shared" si="2"/>
        <v>363</v>
      </c>
      <c r="G13" s="8"/>
    </row>
    <row r="14" ht="18.0" customHeight="1">
      <c r="A14" s="7" t="s">
        <v>24</v>
      </c>
      <c r="B14" s="2"/>
      <c r="C14" s="2"/>
      <c r="D14" s="2"/>
      <c r="E14" s="2"/>
      <c r="F14" s="2"/>
      <c r="G14" s="3"/>
    </row>
    <row r="15" ht="18.0" customHeight="1">
      <c r="A15" s="8" t="s">
        <v>25</v>
      </c>
      <c r="B15" s="9">
        <v>5.0</v>
      </c>
      <c r="C15" s="10" t="s">
        <v>26</v>
      </c>
      <c r="D15" s="11" t="s">
        <v>12</v>
      </c>
      <c r="E15" s="12">
        <v>34.0</v>
      </c>
      <c r="F15" s="13">
        <f t="shared" ref="F15:F16" si="3">B15*E15</f>
        <v>170</v>
      </c>
      <c r="G15" s="8"/>
    </row>
    <row r="16" ht="18.0" customHeight="1">
      <c r="A16" s="8" t="s">
        <v>27</v>
      </c>
      <c r="B16" s="9">
        <v>5.0</v>
      </c>
      <c r="C16" s="10" t="s">
        <v>14</v>
      </c>
      <c r="D16" s="11" t="s">
        <v>12</v>
      </c>
      <c r="E16" s="12">
        <v>34.0</v>
      </c>
      <c r="F16" s="13">
        <f t="shared" si="3"/>
        <v>170</v>
      </c>
      <c r="G16" s="8"/>
    </row>
    <row r="17" ht="18.0" customHeight="1">
      <c r="A17" s="7" t="s">
        <v>28</v>
      </c>
      <c r="B17" s="2"/>
      <c r="C17" s="2"/>
      <c r="D17" s="2"/>
      <c r="E17" s="2"/>
      <c r="F17" s="2"/>
      <c r="G17" s="3"/>
    </row>
    <row r="18" ht="18.0" customHeight="1">
      <c r="A18" s="8" t="s">
        <v>29</v>
      </c>
      <c r="B18" s="9">
        <v>5.0</v>
      </c>
      <c r="C18" s="10" t="s">
        <v>26</v>
      </c>
      <c r="D18" s="11" t="s">
        <v>12</v>
      </c>
      <c r="E18" s="12">
        <v>15.0</v>
      </c>
      <c r="F18" s="13">
        <f t="shared" ref="F18:F20" si="4">B18*E18</f>
        <v>75</v>
      </c>
      <c r="G18" s="8"/>
    </row>
    <row r="19" ht="18.0" customHeight="1">
      <c r="A19" s="8" t="s">
        <v>30</v>
      </c>
      <c r="B19" s="9">
        <v>5.0</v>
      </c>
      <c r="C19" s="10" t="s">
        <v>26</v>
      </c>
      <c r="D19" s="11" t="s">
        <v>12</v>
      </c>
      <c r="E19" s="12">
        <v>15.0</v>
      </c>
      <c r="F19" s="13">
        <f t="shared" si="4"/>
        <v>75</v>
      </c>
      <c r="G19" s="8"/>
    </row>
    <row r="20" ht="18.0" customHeight="1">
      <c r="A20" s="8" t="s">
        <v>31</v>
      </c>
      <c r="B20" s="9">
        <v>10.0</v>
      </c>
      <c r="C20" s="10" t="s">
        <v>14</v>
      </c>
      <c r="D20" s="11" t="s">
        <v>12</v>
      </c>
      <c r="E20" s="12">
        <v>15.0</v>
      </c>
      <c r="F20" s="13">
        <f t="shared" si="4"/>
        <v>150</v>
      </c>
      <c r="G20" s="8"/>
    </row>
    <row r="21" ht="18.0" customHeight="1">
      <c r="A21" s="7" t="s">
        <v>32</v>
      </c>
      <c r="B21" s="2"/>
      <c r="C21" s="2"/>
      <c r="D21" s="2"/>
      <c r="E21" s="2"/>
      <c r="F21" s="2"/>
      <c r="G21" s="3"/>
    </row>
    <row r="22" ht="18.0" customHeight="1">
      <c r="A22" s="8" t="s">
        <v>33</v>
      </c>
      <c r="B22" s="9">
        <v>1.0</v>
      </c>
      <c r="C22" s="10" t="s">
        <v>26</v>
      </c>
      <c r="D22" s="11" t="s">
        <v>12</v>
      </c>
      <c r="E22" s="12">
        <v>70.0</v>
      </c>
      <c r="F22" s="13">
        <f t="shared" ref="F22:F24" si="5">B22*E22</f>
        <v>70</v>
      </c>
      <c r="G22" s="8"/>
    </row>
    <row r="23" ht="18.0" customHeight="1">
      <c r="A23" s="8" t="s">
        <v>34</v>
      </c>
      <c r="B23" s="9">
        <v>1.0</v>
      </c>
      <c r="C23" s="10" t="s">
        <v>26</v>
      </c>
      <c r="D23" s="11" t="s">
        <v>12</v>
      </c>
      <c r="E23" s="12">
        <v>70.0</v>
      </c>
      <c r="F23" s="13">
        <f t="shared" si="5"/>
        <v>70</v>
      </c>
      <c r="G23" s="8"/>
    </row>
    <row r="24" ht="18.0" customHeight="1">
      <c r="A24" s="8" t="s">
        <v>35</v>
      </c>
      <c r="B24" s="9">
        <v>2.0</v>
      </c>
      <c r="C24" s="10" t="s">
        <v>26</v>
      </c>
      <c r="D24" s="11" t="s">
        <v>12</v>
      </c>
      <c r="E24" s="12">
        <v>70.0</v>
      </c>
      <c r="F24" s="13">
        <f t="shared" si="5"/>
        <v>140</v>
      </c>
      <c r="G24" s="8"/>
    </row>
    <row r="25" ht="18.0" customHeight="1">
      <c r="A25" s="7" t="s">
        <v>36</v>
      </c>
      <c r="B25" s="2"/>
      <c r="C25" s="2"/>
      <c r="D25" s="2"/>
      <c r="E25" s="2"/>
      <c r="F25" s="2"/>
      <c r="G25" s="3"/>
    </row>
    <row r="26" ht="18.0" customHeight="1">
      <c r="A26" s="8" t="s">
        <v>37</v>
      </c>
      <c r="B26" s="9">
        <v>1.0</v>
      </c>
      <c r="C26" s="10" t="s">
        <v>14</v>
      </c>
      <c r="D26" s="11" t="s">
        <v>12</v>
      </c>
      <c r="E26" s="12">
        <v>171.0</v>
      </c>
      <c r="F26" s="13">
        <f t="shared" ref="F26:F28" si="6">B26*E26</f>
        <v>171</v>
      </c>
      <c r="G26" s="8"/>
    </row>
    <row r="27" ht="18.0" customHeight="1">
      <c r="A27" s="8" t="s">
        <v>38</v>
      </c>
      <c r="B27" s="9">
        <v>1.0</v>
      </c>
      <c r="C27" s="10" t="s">
        <v>14</v>
      </c>
      <c r="D27" s="11" t="s">
        <v>12</v>
      </c>
      <c r="E27" s="12">
        <v>171.0</v>
      </c>
      <c r="F27" s="13">
        <f t="shared" si="6"/>
        <v>171</v>
      </c>
      <c r="G27" s="8"/>
    </row>
    <row r="28" ht="18.0" customHeight="1">
      <c r="A28" s="8" t="s">
        <v>39</v>
      </c>
      <c r="B28" s="9">
        <v>3.0</v>
      </c>
      <c r="C28" s="10" t="s">
        <v>14</v>
      </c>
      <c r="D28" s="11" t="s">
        <v>12</v>
      </c>
      <c r="E28" s="12">
        <v>171.0</v>
      </c>
      <c r="F28" s="13">
        <f t="shared" si="6"/>
        <v>513</v>
      </c>
      <c r="G28" s="8"/>
    </row>
    <row r="29" ht="18.0" customHeight="1">
      <c r="A29" s="7" t="s">
        <v>40</v>
      </c>
      <c r="B29" s="2"/>
      <c r="C29" s="2"/>
      <c r="D29" s="2"/>
      <c r="E29" s="2"/>
      <c r="F29" s="2"/>
      <c r="G29" s="3"/>
    </row>
    <row r="30" ht="18.0" customHeight="1">
      <c r="A30" s="8" t="s">
        <v>41</v>
      </c>
      <c r="B30" s="9">
        <v>1.0</v>
      </c>
      <c r="C30" s="10" t="s">
        <v>14</v>
      </c>
      <c r="D30" s="11" t="s">
        <v>12</v>
      </c>
      <c r="E30" s="12">
        <v>472.0</v>
      </c>
      <c r="F30" s="13">
        <f t="shared" ref="F30:F31" si="7">B30*E30</f>
        <v>472</v>
      </c>
      <c r="G30" s="8"/>
    </row>
    <row r="31" ht="18.0" customHeight="1">
      <c r="A31" s="8" t="s">
        <v>42</v>
      </c>
      <c r="B31" s="9">
        <v>1.0</v>
      </c>
      <c r="C31" s="10" t="s">
        <v>14</v>
      </c>
      <c r="D31" s="11" t="s">
        <v>12</v>
      </c>
      <c r="E31" s="12">
        <v>320.0</v>
      </c>
      <c r="F31" s="13">
        <f t="shared" si="7"/>
        <v>320</v>
      </c>
      <c r="G31" s="8"/>
    </row>
    <row r="32" ht="6.0" customHeight="1">
      <c r="A32" s="5"/>
      <c r="B32" s="5"/>
      <c r="C32" s="5"/>
      <c r="D32" s="5"/>
      <c r="E32" s="5"/>
      <c r="F32" s="5"/>
      <c r="G32" s="5"/>
    </row>
    <row r="33" ht="21.75" customHeight="1">
      <c r="A33" s="14" t="s">
        <v>43</v>
      </c>
      <c r="B33" s="15">
        <v>159.0</v>
      </c>
      <c r="C33" s="16"/>
      <c r="D33" s="16"/>
      <c r="E33" s="16"/>
      <c r="F33" s="16"/>
      <c r="G33" s="16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25:G25"/>
    <mergeCell ref="A29:G29"/>
    <mergeCell ref="A1:G1"/>
    <mergeCell ref="A2:G2"/>
    <mergeCell ref="A5:G5"/>
    <mergeCell ref="A8:G8"/>
    <mergeCell ref="A14:G14"/>
    <mergeCell ref="A17:G17"/>
    <mergeCell ref="A21:G2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34.0"/>
    <col customWidth="1" min="2" max="2" width="8.0"/>
    <col customWidth="1" min="3" max="5" width="12.0"/>
    <col customWidth="1" min="6" max="9" width="14.0"/>
    <col customWidth="1" min="10" max="10" width="16.0"/>
    <col customWidth="1" min="11" max="26" width="8.71"/>
  </cols>
  <sheetData>
    <row r="1" ht="30.0" customHeight="1">
      <c r="A1" s="1" t="s">
        <v>44</v>
      </c>
      <c r="B1" s="2"/>
      <c r="C1" s="2"/>
      <c r="D1" s="2"/>
      <c r="E1" s="2"/>
      <c r="F1" s="2"/>
      <c r="G1" s="2"/>
      <c r="H1" s="2"/>
      <c r="I1" s="2"/>
      <c r="J1" s="3"/>
    </row>
    <row r="2" ht="18.0" customHeight="1">
      <c r="A2" s="7" t="s">
        <v>45</v>
      </c>
      <c r="B2" s="2"/>
      <c r="C2" s="2"/>
      <c r="D2" s="2"/>
      <c r="E2" s="2"/>
      <c r="F2" s="2"/>
      <c r="G2" s="2"/>
      <c r="H2" s="2"/>
      <c r="I2" s="2"/>
      <c r="J2" s="3"/>
    </row>
    <row r="3" ht="18.0" customHeight="1">
      <c r="A3" s="17" t="s">
        <v>46</v>
      </c>
      <c r="B3" s="18">
        <v>1.2</v>
      </c>
      <c r="C3" s="5"/>
      <c r="D3" s="5"/>
      <c r="E3" s="5"/>
      <c r="F3" s="5"/>
      <c r="G3" s="5"/>
      <c r="H3" s="5"/>
      <c r="I3" s="5"/>
      <c r="J3" s="5"/>
    </row>
    <row r="4" ht="18.0" customHeight="1">
      <c r="A4" s="19" t="s">
        <v>47</v>
      </c>
      <c r="B4" s="2"/>
      <c r="C4" s="2"/>
      <c r="D4" s="2"/>
      <c r="E4" s="2"/>
      <c r="F4" s="2"/>
      <c r="G4" s="2"/>
      <c r="H4" s="2"/>
      <c r="I4" s="2"/>
      <c r="J4" s="3"/>
    </row>
    <row r="5" ht="27.75" customHeight="1">
      <c r="A5" s="6" t="s">
        <v>48</v>
      </c>
      <c r="B5" s="6" t="s">
        <v>49</v>
      </c>
      <c r="C5" s="6" t="s">
        <v>50</v>
      </c>
      <c r="D5" s="6" t="s">
        <v>51</v>
      </c>
      <c r="E5" s="6" t="s">
        <v>52</v>
      </c>
      <c r="F5" s="6"/>
      <c r="G5" s="6"/>
      <c r="H5" s="6"/>
      <c r="I5" s="6"/>
      <c r="J5" s="6"/>
    </row>
    <row r="6" ht="18.0" customHeight="1">
      <c r="A6" s="17" t="s">
        <v>53</v>
      </c>
      <c r="B6" s="20">
        <v>387.0</v>
      </c>
      <c r="C6" s="21">
        <f t="shared" ref="C6:C8" si="1">B6/$B$3</f>
        <v>322.5</v>
      </c>
      <c r="D6" s="22">
        <v>2245.0</v>
      </c>
      <c r="E6" s="22">
        <v>2100.0</v>
      </c>
      <c r="F6" s="5"/>
      <c r="G6" s="5"/>
      <c r="H6" s="5"/>
      <c r="I6" s="5"/>
      <c r="J6" s="5"/>
    </row>
    <row r="7" ht="18.0" customHeight="1">
      <c r="A7" s="17" t="s">
        <v>26</v>
      </c>
      <c r="B7" s="20">
        <v>293.0</v>
      </c>
      <c r="C7" s="21">
        <f t="shared" si="1"/>
        <v>244.1666667</v>
      </c>
      <c r="D7" s="22">
        <v>1245.0</v>
      </c>
      <c r="E7" s="22">
        <v>1260.0</v>
      </c>
      <c r="F7" s="5"/>
      <c r="G7" s="5"/>
      <c r="H7" s="5"/>
      <c r="I7" s="5"/>
      <c r="J7" s="5"/>
    </row>
    <row r="8" ht="18.0" customHeight="1">
      <c r="A8" s="17" t="s">
        <v>14</v>
      </c>
      <c r="B8" s="20">
        <v>653.0</v>
      </c>
      <c r="C8" s="21">
        <f t="shared" si="1"/>
        <v>544.1666667</v>
      </c>
      <c r="D8" s="22">
        <v>3765.0</v>
      </c>
      <c r="E8" s="22">
        <v>3380.0</v>
      </c>
      <c r="F8" s="5"/>
      <c r="G8" s="5"/>
      <c r="H8" s="5"/>
      <c r="I8" s="5"/>
      <c r="J8" s="5"/>
    </row>
    <row r="9" ht="6.0" customHeight="1">
      <c r="A9" s="5"/>
      <c r="B9" s="5"/>
      <c r="C9" s="5"/>
      <c r="D9" s="5"/>
      <c r="E9" s="5"/>
      <c r="F9" s="5"/>
      <c r="G9" s="5"/>
      <c r="H9" s="5"/>
      <c r="I9" s="5"/>
      <c r="J9" s="5"/>
    </row>
    <row r="10" ht="31.5" customHeight="1">
      <c r="A10" s="6" t="s">
        <v>2</v>
      </c>
      <c r="B10" s="6" t="s">
        <v>3</v>
      </c>
      <c r="C10" s="6" t="s">
        <v>4</v>
      </c>
      <c r="D10" s="6" t="s">
        <v>54</v>
      </c>
      <c r="E10" s="6" t="s">
        <v>55</v>
      </c>
      <c r="F10" s="6" t="s">
        <v>56</v>
      </c>
      <c r="G10" s="6" t="s">
        <v>57</v>
      </c>
      <c r="H10" s="6" t="s">
        <v>58</v>
      </c>
      <c r="I10" s="23" t="s">
        <v>59</v>
      </c>
      <c r="J10" s="6" t="s">
        <v>5</v>
      </c>
    </row>
    <row r="11" ht="18.0" customHeight="1">
      <c r="A11" s="7" t="s">
        <v>9</v>
      </c>
      <c r="B11" s="2"/>
      <c r="C11" s="2"/>
      <c r="D11" s="2"/>
      <c r="E11" s="2"/>
      <c r="F11" s="2"/>
      <c r="G11" s="2"/>
      <c r="H11" s="2"/>
      <c r="I11" s="2"/>
      <c r="J11" s="3"/>
    </row>
    <row r="12" ht="18.0" customHeight="1">
      <c r="A12" s="8" t="s">
        <v>10</v>
      </c>
      <c r="B12" s="12">
        <v>10.0</v>
      </c>
      <c r="C12" s="10" t="s">
        <v>60</v>
      </c>
      <c r="D12" s="24" t="s">
        <v>61</v>
      </c>
      <c r="E12" s="25">
        <v>50.0</v>
      </c>
      <c r="F12" s="26" t="s">
        <v>61</v>
      </c>
      <c r="G12" s="24" t="s">
        <v>61</v>
      </c>
      <c r="H12" s="27">
        <f>E12*B12</f>
        <v>500</v>
      </c>
      <c r="I12" s="21">
        <f t="shared" ref="I12:I15" si="2">E12*B12</f>
        <v>500</v>
      </c>
      <c r="J12" s="11" t="s">
        <v>12</v>
      </c>
    </row>
    <row r="13" ht="18.0" customHeight="1">
      <c r="A13" s="8" t="s">
        <v>10</v>
      </c>
      <c r="B13" s="12">
        <v>20.0</v>
      </c>
      <c r="C13" s="10" t="s">
        <v>53</v>
      </c>
      <c r="D13" s="20">
        <v>18.0</v>
      </c>
      <c r="E13" s="21">
        <f t="shared" ref="E13:E15" si="3">D13/$B$3</f>
        <v>15</v>
      </c>
      <c r="F13" s="26">
        <v>13.27</v>
      </c>
      <c r="G13" s="21">
        <f t="shared" ref="G13:G15" si="4">F13/$B$3</f>
        <v>11.05833333</v>
      </c>
      <c r="H13" s="27">
        <f t="shared" ref="H13:H15" si="5">(E13+G13)*B13</f>
        <v>521.1666667</v>
      </c>
      <c r="I13" s="21">
        <f t="shared" si="2"/>
        <v>300</v>
      </c>
      <c r="J13" s="11" t="s">
        <v>12</v>
      </c>
    </row>
    <row r="14" ht="18.0" customHeight="1">
      <c r="A14" s="8" t="s">
        <v>10</v>
      </c>
      <c r="B14" s="12">
        <v>5.0</v>
      </c>
      <c r="C14" s="10" t="s">
        <v>14</v>
      </c>
      <c r="D14" s="20">
        <v>18.0</v>
      </c>
      <c r="E14" s="21">
        <f t="shared" si="3"/>
        <v>15</v>
      </c>
      <c r="F14" s="26">
        <v>13.91</v>
      </c>
      <c r="G14" s="21">
        <f t="shared" si="4"/>
        <v>11.59166667</v>
      </c>
      <c r="H14" s="27">
        <f t="shared" si="5"/>
        <v>132.9583333</v>
      </c>
      <c r="I14" s="21">
        <f t="shared" si="2"/>
        <v>75</v>
      </c>
      <c r="J14" s="11" t="s">
        <v>12</v>
      </c>
    </row>
    <row r="15" ht="18.0" customHeight="1">
      <c r="A15" s="8" t="s">
        <v>13</v>
      </c>
      <c r="B15" s="12">
        <v>5.0</v>
      </c>
      <c r="C15" s="10" t="s">
        <v>14</v>
      </c>
      <c r="D15" s="20">
        <v>25.0</v>
      </c>
      <c r="E15" s="21">
        <f t="shared" si="3"/>
        <v>20.83333333</v>
      </c>
      <c r="F15" s="26">
        <v>13.91</v>
      </c>
      <c r="G15" s="21">
        <f t="shared" si="4"/>
        <v>11.59166667</v>
      </c>
      <c r="H15" s="27">
        <f t="shared" si="5"/>
        <v>162.125</v>
      </c>
      <c r="I15" s="21">
        <f t="shared" si="2"/>
        <v>104.1666667</v>
      </c>
      <c r="J15" s="11" t="s">
        <v>12</v>
      </c>
    </row>
    <row r="16" ht="18.0" customHeight="1">
      <c r="A16" s="7" t="s">
        <v>15</v>
      </c>
      <c r="B16" s="2"/>
      <c r="C16" s="2"/>
      <c r="D16" s="2"/>
      <c r="E16" s="2"/>
      <c r="F16" s="2"/>
      <c r="G16" s="2"/>
      <c r="H16" s="2"/>
      <c r="I16" s="2"/>
      <c r="J16" s="3"/>
    </row>
    <row r="17" ht="18.0" customHeight="1">
      <c r="A17" s="8" t="s">
        <v>16</v>
      </c>
      <c r="B17" s="12">
        <v>3.0</v>
      </c>
      <c r="C17" s="10" t="s">
        <v>60</v>
      </c>
      <c r="D17" s="24" t="s">
        <v>61</v>
      </c>
      <c r="E17" s="25">
        <v>40.0</v>
      </c>
      <c r="F17" s="26" t="s">
        <v>61</v>
      </c>
      <c r="G17" s="24" t="s">
        <v>61</v>
      </c>
      <c r="H17" s="27">
        <f t="shared" ref="H17:H20" si="6">E17*B17</f>
        <v>120</v>
      </c>
      <c r="I17" s="21">
        <f t="shared" ref="I17:I27" si="7">E17*B17</f>
        <v>120</v>
      </c>
      <c r="J17" s="11" t="s">
        <v>12</v>
      </c>
    </row>
    <row r="18" ht="18.0" customHeight="1">
      <c r="A18" s="8" t="s">
        <v>18</v>
      </c>
      <c r="B18" s="12">
        <v>2.0</v>
      </c>
      <c r="C18" s="10" t="s">
        <v>60</v>
      </c>
      <c r="D18" s="24" t="s">
        <v>61</v>
      </c>
      <c r="E18" s="25">
        <v>40.0</v>
      </c>
      <c r="F18" s="26" t="s">
        <v>61</v>
      </c>
      <c r="G18" s="24" t="s">
        <v>61</v>
      </c>
      <c r="H18" s="27">
        <f t="shared" si="6"/>
        <v>80</v>
      </c>
      <c r="I18" s="21">
        <f t="shared" si="7"/>
        <v>80</v>
      </c>
      <c r="J18" s="11" t="s">
        <v>12</v>
      </c>
    </row>
    <row r="19" ht="18.0" customHeight="1">
      <c r="A19" s="8" t="s">
        <v>20</v>
      </c>
      <c r="B19" s="12">
        <v>3.0</v>
      </c>
      <c r="C19" s="10" t="s">
        <v>60</v>
      </c>
      <c r="D19" s="24" t="s">
        <v>61</v>
      </c>
      <c r="E19" s="25">
        <v>40.0</v>
      </c>
      <c r="F19" s="26" t="s">
        <v>61</v>
      </c>
      <c r="G19" s="24" t="s">
        <v>61</v>
      </c>
      <c r="H19" s="27">
        <f t="shared" si="6"/>
        <v>120</v>
      </c>
      <c r="I19" s="21">
        <f t="shared" si="7"/>
        <v>120</v>
      </c>
      <c r="J19" s="11" t="s">
        <v>12</v>
      </c>
    </row>
    <row r="20" ht="18.0" customHeight="1">
      <c r="A20" s="8" t="s">
        <v>21</v>
      </c>
      <c r="B20" s="12">
        <v>9.0</v>
      </c>
      <c r="C20" s="10" t="s">
        <v>60</v>
      </c>
      <c r="D20" s="24" t="s">
        <v>61</v>
      </c>
      <c r="E20" s="25">
        <v>40.0</v>
      </c>
      <c r="F20" s="26" t="s">
        <v>61</v>
      </c>
      <c r="G20" s="24" t="s">
        <v>61</v>
      </c>
      <c r="H20" s="27">
        <f t="shared" si="6"/>
        <v>360</v>
      </c>
      <c r="I20" s="21">
        <f t="shared" si="7"/>
        <v>360</v>
      </c>
      <c r="J20" s="11" t="s">
        <v>12</v>
      </c>
    </row>
    <row r="21" ht="18.0" customHeight="1">
      <c r="A21" s="8" t="s">
        <v>22</v>
      </c>
      <c r="B21" s="12">
        <v>10.0</v>
      </c>
      <c r="C21" s="10" t="s">
        <v>53</v>
      </c>
      <c r="D21" s="20">
        <v>10.0</v>
      </c>
      <c r="E21" s="21">
        <f t="shared" ref="E21:E27" si="8">D21/$B$3</f>
        <v>8.333333333</v>
      </c>
      <c r="F21" s="26">
        <v>6.08</v>
      </c>
      <c r="G21" s="21">
        <f t="shared" ref="G21:G27" si="9">F21/$B$3</f>
        <v>5.066666667</v>
      </c>
      <c r="H21" s="27">
        <f t="shared" ref="H21:H27" si="10">(E21+G21)*B21</f>
        <v>134</v>
      </c>
      <c r="I21" s="21">
        <f t="shared" si="7"/>
        <v>83.33333333</v>
      </c>
      <c r="J21" s="11" t="s">
        <v>12</v>
      </c>
    </row>
    <row r="22" ht="18.0" customHeight="1">
      <c r="A22" s="8" t="s">
        <v>21</v>
      </c>
      <c r="B22" s="12">
        <v>10.0</v>
      </c>
      <c r="C22" s="10" t="s">
        <v>53</v>
      </c>
      <c r="D22" s="20">
        <v>10.0</v>
      </c>
      <c r="E22" s="21">
        <f t="shared" si="8"/>
        <v>8.333333333</v>
      </c>
      <c r="F22" s="26">
        <v>6.08</v>
      </c>
      <c r="G22" s="21">
        <f t="shared" si="9"/>
        <v>5.066666667</v>
      </c>
      <c r="H22" s="27">
        <f t="shared" si="10"/>
        <v>134</v>
      </c>
      <c r="I22" s="21">
        <f t="shared" si="7"/>
        <v>83.33333333</v>
      </c>
      <c r="J22" s="11" t="s">
        <v>12</v>
      </c>
    </row>
    <row r="23" ht="18.0" customHeight="1">
      <c r="A23" s="8" t="s">
        <v>16</v>
      </c>
      <c r="B23" s="12">
        <v>10.0</v>
      </c>
      <c r="C23" s="10" t="s">
        <v>26</v>
      </c>
      <c r="D23" s="20">
        <v>10.0</v>
      </c>
      <c r="E23" s="21">
        <f t="shared" si="8"/>
        <v>8.333333333</v>
      </c>
      <c r="F23" s="26">
        <v>7.67</v>
      </c>
      <c r="G23" s="21">
        <f t="shared" si="9"/>
        <v>6.391666667</v>
      </c>
      <c r="H23" s="27">
        <f t="shared" si="10"/>
        <v>147.25</v>
      </c>
      <c r="I23" s="21">
        <f t="shared" si="7"/>
        <v>83.33333333</v>
      </c>
      <c r="J23" s="11" t="s">
        <v>12</v>
      </c>
    </row>
    <row r="24" ht="18.0" customHeight="1">
      <c r="A24" s="8" t="s">
        <v>20</v>
      </c>
      <c r="B24" s="12">
        <v>10.0</v>
      </c>
      <c r="C24" s="10" t="s">
        <v>26</v>
      </c>
      <c r="D24" s="20">
        <v>10.0</v>
      </c>
      <c r="E24" s="21">
        <f t="shared" si="8"/>
        <v>8.333333333</v>
      </c>
      <c r="F24" s="26">
        <v>7.67</v>
      </c>
      <c r="G24" s="21">
        <f t="shared" si="9"/>
        <v>6.391666667</v>
      </c>
      <c r="H24" s="27">
        <f t="shared" si="10"/>
        <v>147.25</v>
      </c>
      <c r="I24" s="21">
        <f t="shared" si="7"/>
        <v>83.33333333</v>
      </c>
      <c r="J24" s="11" t="s">
        <v>12</v>
      </c>
    </row>
    <row r="25" ht="18.0" customHeight="1">
      <c r="A25" s="8" t="s">
        <v>22</v>
      </c>
      <c r="B25" s="12">
        <v>1.0</v>
      </c>
      <c r="C25" s="10" t="s">
        <v>14</v>
      </c>
      <c r="D25" s="20">
        <v>10.0</v>
      </c>
      <c r="E25" s="21">
        <f t="shared" si="8"/>
        <v>8.333333333</v>
      </c>
      <c r="F25" s="26">
        <v>6.38</v>
      </c>
      <c r="G25" s="21">
        <f t="shared" si="9"/>
        <v>5.316666667</v>
      </c>
      <c r="H25" s="27">
        <f t="shared" si="10"/>
        <v>13.65</v>
      </c>
      <c r="I25" s="21">
        <f t="shared" si="7"/>
        <v>8.333333333</v>
      </c>
      <c r="J25" s="11" t="s">
        <v>12</v>
      </c>
    </row>
    <row r="26" ht="18.0" customHeight="1">
      <c r="A26" s="8" t="s">
        <v>18</v>
      </c>
      <c r="B26" s="12">
        <v>5.0</v>
      </c>
      <c r="C26" s="10" t="s">
        <v>14</v>
      </c>
      <c r="D26" s="20">
        <v>10.0</v>
      </c>
      <c r="E26" s="21">
        <f t="shared" si="8"/>
        <v>8.333333333</v>
      </c>
      <c r="F26" s="26">
        <v>6.38</v>
      </c>
      <c r="G26" s="21">
        <f t="shared" si="9"/>
        <v>5.316666667</v>
      </c>
      <c r="H26" s="27">
        <f t="shared" si="10"/>
        <v>68.25</v>
      </c>
      <c r="I26" s="21">
        <f t="shared" si="7"/>
        <v>41.66666667</v>
      </c>
      <c r="J26" s="11" t="s">
        <v>12</v>
      </c>
    </row>
    <row r="27" ht="18.0" customHeight="1">
      <c r="A27" s="8" t="s">
        <v>21</v>
      </c>
      <c r="B27" s="12">
        <v>15.0</v>
      </c>
      <c r="C27" s="10" t="s">
        <v>14</v>
      </c>
      <c r="D27" s="20">
        <v>10.0</v>
      </c>
      <c r="E27" s="21">
        <f t="shared" si="8"/>
        <v>8.333333333</v>
      </c>
      <c r="F27" s="26">
        <v>6.38</v>
      </c>
      <c r="G27" s="21">
        <f t="shared" si="9"/>
        <v>5.316666667</v>
      </c>
      <c r="H27" s="27">
        <f t="shared" si="10"/>
        <v>204.75</v>
      </c>
      <c r="I27" s="21">
        <f t="shared" si="7"/>
        <v>125</v>
      </c>
      <c r="J27" s="11" t="s">
        <v>12</v>
      </c>
    </row>
    <row r="28" ht="18.0" customHeight="1">
      <c r="A28" s="7" t="s">
        <v>24</v>
      </c>
      <c r="B28" s="2"/>
      <c r="C28" s="2"/>
      <c r="D28" s="2"/>
      <c r="E28" s="2"/>
      <c r="F28" s="2"/>
      <c r="G28" s="2"/>
      <c r="H28" s="2"/>
      <c r="I28" s="2"/>
      <c r="J28" s="3"/>
    </row>
    <row r="29" ht="18.0" customHeight="1">
      <c r="A29" s="8" t="s">
        <v>25</v>
      </c>
      <c r="B29" s="12">
        <v>5.0</v>
      </c>
      <c r="C29" s="10" t="s">
        <v>26</v>
      </c>
      <c r="D29" s="20">
        <v>8.5</v>
      </c>
      <c r="E29" s="21">
        <f t="shared" ref="E29:E30" si="11">D29/$B$3</f>
        <v>7.083333333</v>
      </c>
      <c r="F29" s="26">
        <v>7.91</v>
      </c>
      <c r="G29" s="21">
        <f t="shared" ref="G29:G30" si="12">F29/$B$3</f>
        <v>6.591666667</v>
      </c>
      <c r="H29" s="27">
        <f t="shared" ref="H29:H30" si="13">(E29+G29)*B29</f>
        <v>68.375</v>
      </c>
      <c r="I29" s="21">
        <f t="shared" ref="I29:I30" si="14">E29*B29</f>
        <v>35.41666667</v>
      </c>
      <c r="J29" s="11" t="s">
        <v>12</v>
      </c>
    </row>
    <row r="30" ht="18.0" customHeight="1">
      <c r="A30" s="8" t="s">
        <v>27</v>
      </c>
      <c r="B30" s="12">
        <v>5.0</v>
      </c>
      <c r="C30" s="10" t="s">
        <v>14</v>
      </c>
      <c r="D30" s="20">
        <v>8.5</v>
      </c>
      <c r="E30" s="21">
        <f t="shared" si="11"/>
        <v>7.083333333</v>
      </c>
      <c r="F30" s="26">
        <v>6.57</v>
      </c>
      <c r="G30" s="21">
        <f t="shared" si="12"/>
        <v>5.475</v>
      </c>
      <c r="H30" s="27">
        <f t="shared" si="13"/>
        <v>62.79166667</v>
      </c>
      <c r="I30" s="21">
        <f t="shared" si="14"/>
        <v>35.41666667</v>
      </c>
      <c r="J30" s="11" t="s">
        <v>12</v>
      </c>
    </row>
    <row r="31" ht="18.0" customHeight="1">
      <c r="A31" s="7" t="s">
        <v>28</v>
      </c>
      <c r="B31" s="2"/>
      <c r="C31" s="2"/>
      <c r="D31" s="2"/>
      <c r="E31" s="2"/>
      <c r="F31" s="2"/>
      <c r="G31" s="2"/>
      <c r="H31" s="2"/>
      <c r="I31" s="2"/>
      <c r="J31" s="3"/>
    </row>
    <row r="32" ht="18.0" customHeight="1">
      <c r="A32" s="8" t="s">
        <v>29</v>
      </c>
      <c r="B32" s="12">
        <v>5.0</v>
      </c>
      <c r="C32" s="10" t="s">
        <v>26</v>
      </c>
      <c r="D32" s="20">
        <v>6.0</v>
      </c>
      <c r="E32" s="21">
        <f t="shared" ref="E32:E34" si="15">D32/$B$3</f>
        <v>5</v>
      </c>
      <c r="F32" s="26">
        <v>3.49</v>
      </c>
      <c r="G32" s="21">
        <f t="shared" ref="G32:G34" si="16">F32/$B$3</f>
        <v>2.908333333</v>
      </c>
      <c r="H32" s="27">
        <f t="shared" ref="H32:H34" si="17">(E32+G32)*B32</f>
        <v>39.54166667</v>
      </c>
      <c r="I32" s="21">
        <f t="shared" ref="I32:I34" si="18">E32*B32</f>
        <v>25</v>
      </c>
      <c r="J32" s="11" t="s">
        <v>12</v>
      </c>
    </row>
    <row r="33" ht="18.0" customHeight="1">
      <c r="A33" s="8" t="s">
        <v>30</v>
      </c>
      <c r="B33" s="12">
        <v>5.0</v>
      </c>
      <c r="C33" s="10" t="s">
        <v>26</v>
      </c>
      <c r="D33" s="20">
        <v>6.0</v>
      </c>
      <c r="E33" s="21">
        <f t="shared" si="15"/>
        <v>5</v>
      </c>
      <c r="F33" s="26">
        <v>3.49</v>
      </c>
      <c r="G33" s="21">
        <f t="shared" si="16"/>
        <v>2.908333333</v>
      </c>
      <c r="H33" s="27">
        <f t="shared" si="17"/>
        <v>39.54166667</v>
      </c>
      <c r="I33" s="21">
        <f t="shared" si="18"/>
        <v>25</v>
      </c>
      <c r="J33" s="11" t="s">
        <v>12</v>
      </c>
    </row>
    <row r="34" ht="18.0" customHeight="1">
      <c r="A34" s="8" t="s">
        <v>31</v>
      </c>
      <c r="B34" s="12">
        <v>10.0</v>
      </c>
      <c r="C34" s="10" t="s">
        <v>14</v>
      </c>
      <c r="D34" s="20">
        <v>6.0</v>
      </c>
      <c r="E34" s="21">
        <f t="shared" si="15"/>
        <v>5</v>
      </c>
      <c r="F34" s="26">
        <v>2.9</v>
      </c>
      <c r="G34" s="21">
        <f t="shared" si="16"/>
        <v>2.416666667</v>
      </c>
      <c r="H34" s="27">
        <f t="shared" si="17"/>
        <v>74.16666667</v>
      </c>
      <c r="I34" s="21">
        <f t="shared" si="18"/>
        <v>50</v>
      </c>
      <c r="J34" s="11" t="s">
        <v>12</v>
      </c>
    </row>
    <row r="35" ht="18.0" customHeight="1">
      <c r="A35" s="7" t="s">
        <v>32</v>
      </c>
      <c r="B35" s="2"/>
      <c r="C35" s="2"/>
      <c r="D35" s="2"/>
      <c r="E35" s="2"/>
      <c r="F35" s="2"/>
      <c r="G35" s="2"/>
      <c r="H35" s="2"/>
      <c r="I35" s="2"/>
      <c r="J35" s="3"/>
    </row>
    <row r="36" ht="18.0" customHeight="1">
      <c r="A36" s="8" t="s">
        <v>33</v>
      </c>
      <c r="B36" s="12">
        <v>1.0</v>
      </c>
      <c r="C36" s="10" t="s">
        <v>26</v>
      </c>
      <c r="D36" s="20">
        <v>28.0</v>
      </c>
      <c r="E36" s="21">
        <f t="shared" ref="E36:E38" si="19">D36/$B$3</f>
        <v>23.33333333</v>
      </c>
      <c r="F36" s="26">
        <v>16.28</v>
      </c>
      <c r="G36" s="21">
        <f t="shared" ref="G36:G38" si="20">F36/$B$3</f>
        <v>13.56666667</v>
      </c>
      <c r="H36" s="27">
        <f t="shared" ref="H36:H38" si="21">(E36+G36)*B36</f>
        <v>36.9</v>
      </c>
      <c r="I36" s="21">
        <f t="shared" ref="I36:I38" si="22">E36*B36</f>
        <v>23.33333333</v>
      </c>
      <c r="J36" s="11" t="s">
        <v>12</v>
      </c>
    </row>
    <row r="37" ht="18.0" customHeight="1">
      <c r="A37" s="8" t="s">
        <v>34</v>
      </c>
      <c r="B37" s="12">
        <v>1.0</v>
      </c>
      <c r="C37" s="10" t="s">
        <v>26</v>
      </c>
      <c r="D37" s="20">
        <v>28.0</v>
      </c>
      <c r="E37" s="21">
        <f t="shared" si="19"/>
        <v>23.33333333</v>
      </c>
      <c r="F37" s="26">
        <v>16.28</v>
      </c>
      <c r="G37" s="21">
        <f t="shared" si="20"/>
        <v>13.56666667</v>
      </c>
      <c r="H37" s="27">
        <f t="shared" si="21"/>
        <v>36.9</v>
      </c>
      <c r="I37" s="21">
        <f t="shared" si="22"/>
        <v>23.33333333</v>
      </c>
      <c r="J37" s="11" t="s">
        <v>12</v>
      </c>
    </row>
    <row r="38" ht="18.0" customHeight="1">
      <c r="A38" s="8" t="s">
        <v>35</v>
      </c>
      <c r="B38" s="12">
        <v>2.0</v>
      </c>
      <c r="C38" s="10" t="s">
        <v>26</v>
      </c>
      <c r="D38" s="20">
        <v>28.0</v>
      </c>
      <c r="E38" s="21">
        <f t="shared" si="19"/>
        <v>23.33333333</v>
      </c>
      <c r="F38" s="26">
        <v>16.28</v>
      </c>
      <c r="G38" s="21">
        <f t="shared" si="20"/>
        <v>13.56666667</v>
      </c>
      <c r="H38" s="27">
        <f t="shared" si="21"/>
        <v>73.8</v>
      </c>
      <c r="I38" s="21">
        <f t="shared" si="22"/>
        <v>46.66666667</v>
      </c>
      <c r="J38" s="11" t="s">
        <v>12</v>
      </c>
    </row>
    <row r="39" ht="18.0" customHeight="1">
      <c r="A39" s="7" t="s">
        <v>36</v>
      </c>
      <c r="B39" s="2"/>
      <c r="C39" s="2"/>
      <c r="D39" s="2"/>
      <c r="E39" s="2"/>
      <c r="F39" s="2"/>
      <c r="G39" s="2"/>
      <c r="H39" s="2"/>
      <c r="I39" s="2"/>
      <c r="J39" s="3"/>
    </row>
    <row r="40" ht="18.0" customHeight="1">
      <c r="A40" s="8" t="s">
        <v>37</v>
      </c>
      <c r="B40" s="12">
        <v>1.0</v>
      </c>
      <c r="C40" s="10" t="s">
        <v>14</v>
      </c>
      <c r="D40" s="20">
        <v>39.0</v>
      </c>
      <c r="E40" s="21">
        <f t="shared" ref="E40:E42" si="23">D40/$B$3</f>
        <v>32.5</v>
      </c>
      <c r="F40" s="26">
        <v>33.04</v>
      </c>
      <c r="G40" s="21">
        <f t="shared" ref="G40:G42" si="24">F40/$B$3</f>
        <v>27.53333333</v>
      </c>
      <c r="H40" s="27">
        <f t="shared" ref="H40:H42" si="25">(E40+G40)*B40</f>
        <v>60.03333333</v>
      </c>
      <c r="I40" s="21">
        <f t="shared" ref="I40:I42" si="26">E40*B40</f>
        <v>32.5</v>
      </c>
      <c r="J40" s="11" t="s">
        <v>12</v>
      </c>
    </row>
    <row r="41" ht="18.0" customHeight="1">
      <c r="A41" s="8" t="s">
        <v>38</v>
      </c>
      <c r="B41" s="12">
        <v>1.0</v>
      </c>
      <c r="C41" s="10" t="s">
        <v>14</v>
      </c>
      <c r="D41" s="20">
        <v>39.0</v>
      </c>
      <c r="E41" s="21">
        <f t="shared" si="23"/>
        <v>32.5</v>
      </c>
      <c r="F41" s="26">
        <v>33.04</v>
      </c>
      <c r="G41" s="21">
        <f t="shared" si="24"/>
        <v>27.53333333</v>
      </c>
      <c r="H41" s="27">
        <f t="shared" si="25"/>
        <v>60.03333333</v>
      </c>
      <c r="I41" s="21">
        <f t="shared" si="26"/>
        <v>32.5</v>
      </c>
      <c r="J41" s="11" t="s">
        <v>12</v>
      </c>
    </row>
    <row r="42" ht="18.0" customHeight="1">
      <c r="A42" s="8" t="s">
        <v>39</v>
      </c>
      <c r="B42" s="12">
        <v>3.0</v>
      </c>
      <c r="C42" s="10" t="s">
        <v>14</v>
      </c>
      <c r="D42" s="20">
        <v>39.0</v>
      </c>
      <c r="E42" s="21">
        <f t="shared" si="23"/>
        <v>32.5</v>
      </c>
      <c r="F42" s="26">
        <v>33.04</v>
      </c>
      <c r="G42" s="21">
        <f t="shared" si="24"/>
        <v>27.53333333</v>
      </c>
      <c r="H42" s="27">
        <f t="shared" si="25"/>
        <v>180.1</v>
      </c>
      <c r="I42" s="21">
        <f t="shared" si="26"/>
        <v>97.5</v>
      </c>
      <c r="J42" s="11" t="s">
        <v>12</v>
      </c>
    </row>
    <row r="43" ht="18.0" customHeight="1">
      <c r="A43" s="7" t="s">
        <v>40</v>
      </c>
      <c r="B43" s="2"/>
      <c r="C43" s="2"/>
      <c r="D43" s="2"/>
      <c r="E43" s="2"/>
      <c r="F43" s="2"/>
      <c r="G43" s="2"/>
      <c r="H43" s="2"/>
      <c r="I43" s="2"/>
      <c r="J43" s="3"/>
    </row>
    <row r="44" ht="18.0" customHeight="1">
      <c r="A44" s="8" t="s">
        <v>41</v>
      </c>
      <c r="B44" s="12">
        <v>1.0</v>
      </c>
      <c r="C44" s="10" t="s">
        <v>14</v>
      </c>
      <c r="D44" s="20">
        <v>90.0</v>
      </c>
      <c r="E44" s="21">
        <f t="shared" ref="E44:E45" si="27">D44/$B$3</f>
        <v>75</v>
      </c>
      <c r="F44" s="26">
        <v>91.19</v>
      </c>
      <c r="G44" s="21">
        <f t="shared" ref="G44:G45" si="28">F44/$B$3</f>
        <v>75.99166667</v>
      </c>
      <c r="H44" s="27">
        <f t="shared" ref="H44:H45" si="29">(E44+G44)*B44</f>
        <v>150.9916667</v>
      </c>
      <c r="I44" s="21">
        <f t="shared" ref="I44:I45" si="30">E44*B44</f>
        <v>75</v>
      </c>
      <c r="J44" s="11" t="s">
        <v>12</v>
      </c>
    </row>
    <row r="45" ht="18.0" customHeight="1">
      <c r="A45" s="8" t="s">
        <v>42</v>
      </c>
      <c r="B45" s="12">
        <v>1.0</v>
      </c>
      <c r="C45" s="10" t="s">
        <v>14</v>
      </c>
      <c r="D45" s="20">
        <v>15.0</v>
      </c>
      <c r="E45" s="21">
        <f t="shared" si="27"/>
        <v>12.5</v>
      </c>
      <c r="F45" s="26">
        <v>61.82</v>
      </c>
      <c r="G45" s="21">
        <f t="shared" si="28"/>
        <v>51.51666667</v>
      </c>
      <c r="H45" s="27">
        <f t="shared" si="29"/>
        <v>64.01666667</v>
      </c>
      <c r="I45" s="21">
        <f t="shared" si="30"/>
        <v>12.5</v>
      </c>
      <c r="J45" s="11" t="s">
        <v>12</v>
      </c>
    </row>
    <row r="46" ht="6.0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ht="21.75" customHeight="1">
      <c r="A47" s="28" t="s">
        <v>62</v>
      </c>
      <c r="B47" s="2"/>
      <c r="C47" s="2"/>
      <c r="D47" s="2"/>
      <c r="E47" s="2"/>
      <c r="F47" s="2"/>
      <c r="G47" s="29"/>
      <c r="H47" s="30">
        <f>SUM(H12,H13,H14,H15,H17,H18,H19,H20,H21,H22,H23,H24,H25,H26,H27,H29,H30,H32,H33,H34,H36,H37,H38,H40,H41,H42,H44,H45)</f>
        <v>3792.591667</v>
      </c>
      <c r="I47" s="16"/>
      <c r="J47" s="16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35:J35"/>
    <mergeCell ref="A39:J39"/>
    <mergeCell ref="A43:J43"/>
    <mergeCell ref="A47:G47"/>
    <mergeCell ref="A1:J1"/>
    <mergeCell ref="A2:J2"/>
    <mergeCell ref="A4:J4"/>
    <mergeCell ref="A11:J11"/>
    <mergeCell ref="A16:J16"/>
    <mergeCell ref="A28:J28"/>
    <mergeCell ref="A31:J3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34.0"/>
    <col customWidth="1" min="2" max="2" width="8.0"/>
    <col customWidth="1" min="3" max="3" width="14.0"/>
    <col customWidth="1" min="4" max="8" width="16.0"/>
    <col customWidth="1" min="9" max="9" width="14.0"/>
    <col customWidth="1" min="10" max="26" width="8.71"/>
  </cols>
  <sheetData>
    <row r="1" ht="30.0" customHeight="1">
      <c r="A1" s="1" t="s">
        <v>63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7" t="s">
        <v>64</v>
      </c>
      <c r="B2" s="2"/>
      <c r="C2" s="2"/>
      <c r="D2" s="2"/>
      <c r="E2" s="2"/>
      <c r="F2" s="2"/>
      <c r="G2" s="2"/>
      <c r="H2" s="2"/>
      <c r="I2" s="3"/>
    </row>
    <row r="3" ht="18.0" customHeight="1">
      <c r="A3" s="17" t="s">
        <v>65</v>
      </c>
      <c r="B3" s="31">
        <v>0.17</v>
      </c>
      <c r="C3" s="5"/>
      <c r="D3" s="5"/>
      <c r="E3" s="5"/>
      <c r="F3" s="5"/>
      <c r="G3" s="5"/>
      <c r="H3" s="5"/>
      <c r="I3" s="5"/>
    </row>
    <row r="4" ht="18.0" customHeight="1">
      <c r="A4" s="17" t="s">
        <v>66</v>
      </c>
      <c r="B4" s="32">
        <v>18.0</v>
      </c>
      <c r="C4" s="5"/>
      <c r="D4" s="5"/>
      <c r="E4" s="5"/>
      <c r="F4" s="5"/>
      <c r="G4" s="5"/>
      <c r="H4" s="5"/>
      <c r="I4" s="5"/>
    </row>
    <row r="5" ht="6.0" customHeight="1">
      <c r="A5" s="5"/>
      <c r="B5" s="5"/>
      <c r="C5" s="5"/>
      <c r="D5" s="5"/>
      <c r="E5" s="5"/>
      <c r="F5" s="5"/>
      <c r="G5" s="5"/>
      <c r="H5" s="5"/>
      <c r="I5" s="5"/>
    </row>
    <row r="6" ht="18.0" customHeight="1">
      <c r="A6" s="7" t="s">
        <v>67</v>
      </c>
      <c r="B6" s="2"/>
      <c r="C6" s="2"/>
      <c r="D6" s="2"/>
      <c r="E6" s="2"/>
      <c r="F6" s="2"/>
      <c r="G6" s="2"/>
      <c r="H6" s="2"/>
      <c r="I6" s="3"/>
    </row>
    <row r="7" ht="27.75" customHeight="1">
      <c r="A7" s="6" t="s">
        <v>2</v>
      </c>
      <c r="B7" s="6" t="s">
        <v>68</v>
      </c>
      <c r="C7" s="6" t="s">
        <v>69</v>
      </c>
      <c r="D7" s="6" t="s">
        <v>8</v>
      </c>
      <c r="E7" s="6"/>
      <c r="F7" s="6"/>
      <c r="G7" s="6"/>
      <c r="H7" s="6"/>
      <c r="I7" s="6"/>
    </row>
    <row r="8" ht="18.0" customHeight="1">
      <c r="A8" s="8" t="s">
        <v>70</v>
      </c>
      <c r="B8" s="33" t="s">
        <v>71</v>
      </c>
      <c r="C8" s="9" t="s">
        <v>72</v>
      </c>
      <c r="D8" s="34" t="s">
        <v>73</v>
      </c>
      <c r="E8" s="5"/>
      <c r="F8" s="5"/>
      <c r="G8" s="5"/>
      <c r="H8" s="5"/>
      <c r="I8" s="5"/>
    </row>
    <row r="9" ht="18.0" customHeight="1">
      <c r="A9" s="8" t="s">
        <v>74</v>
      </c>
      <c r="B9" s="35">
        <v>135.0</v>
      </c>
      <c r="C9" s="9" t="s">
        <v>75</v>
      </c>
      <c r="D9" s="34" t="s">
        <v>73</v>
      </c>
      <c r="E9" s="5"/>
      <c r="F9" s="5"/>
      <c r="G9" s="5"/>
      <c r="H9" s="5"/>
      <c r="I9" s="5"/>
    </row>
    <row r="10" ht="6.0" customHeight="1">
      <c r="A10" s="5"/>
      <c r="B10" s="5"/>
      <c r="C10" s="5"/>
      <c r="D10" s="5"/>
      <c r="E10" s="5"/>
      <c r="F10" s="5"/>
      <c r="G10" s="5"/>
      <c r="H10" s="5"/>
      <c r="I10" s="5"/>
    </row>
    <row r="11" ht="31.5" customHeight="1">
      <c r="A11" s="6" t="s">
        <v>2</v>
      </c>
      <c r="B11" s="6" t="s">
        <v>3</v>
      </c>
      <c r="C11" s="6" t="s">
        <v>76</v>
      </c>
      <c r="D11" s="6" t="s">
        <v>77</v>
      </c>
      <c r="E11" s="6" t="s">
        <v>78</v>
      </c>
      <c r="F11" s="6" t="s">
        <v>79</v>
      </c>
      <c r="G11" s="6" t="s">
        <v>80</v>
      </c>
      <c r="H11" s="6" t="s">
        <v>81</v>
      </c>
      <c r="I11" s="6" t="s">
        <v>82</v>
      </c>
    </row>
    <row r="12" ht="18.0" customHeight="1">
      <c r="A12" s="7" t="s">
        <v>9</v>
      </c>
      <c r="B12" s="2"/>
      <c r="C12" s="2"/>
      <c r="D12" s="2"/>
      <c r="E12" s="2"/>
      <c r="F12" s="2"/>
      <c r="G12" s="2"/>
      <c r="H12" s="2"/>
      <c r="I12" s="3"/>
    </row>
    <row r="13" ht="18.0" customHeight="1">
      <c r="A13" s="8" t="s">
        <v>10</v>
      </c>
      <c r="B13" s="12">
        <v>35.0</v>
      </c>
      <c r="C13" s="36">
        <v>32.97</v>
      </c>
      <c r="D13" s="32">
        <v>175.0</v>
      </c>
      <c r="E13" s="21">
        <f t="shared" ref="E13:E14" si="1">IFERROR(D13*$B$3,"")</f>
        <v>29.75</v>
      </c>
      <c r="F13" s="21">
        <f t="shared" ref="F13:F14" si="2">$B$4</f>
        <v>18</v>
      </c>
      <c r="G13" s="27">
        <f t="shared" ref="G13:G14" si="3">IFERROR(D13-C13-E13-F13,"")</f>
        <v>94.28</v>
      </c>
      <c r="H13" s="37">
        <f t="shared" ref="H13:H14" si="4">IFERROR(G13/D13,"")</f>
        <v>0.5387428571</v>
      </c>
      <c r="I13" s="27">
        <f t="shared" ref="I13:I14" si="5">IFERROR(G13*B13,"")</f>
        <v>3299.8</v>
      </c>
    </row>
    <row r="14" ht="18.0" customHeight="1">
      <c r="A14" s="8" t="s">
        <v>13</v>
      </c>
      <c r="B14" s="12">
        <v>5.0</v>
      </c>
      <c r="C14" s="36">
        <v>32.43</v>
      </c>
      <c r="D14" s="32">
        <v>250.0</v>
      </c>
      <c r="E14" s="21">
        <f t="shared" si="1"/>
        <v>42.5</v>
      </c>
      <c r="F14" s="21">
        <f t="shared" si="2"/>
        <v>18</v>
      </c>
      <c r="G14" s="27">
        <f t="shared" si="3"/>
        <v>157.07</v>
      </c>
      <c r="H14" s="37">
        <f t="shared" si="4"/>
        <v>0.62828</v>
      </c>
      <c r="I14" s="27">
        <f t="shared" si="5"/>
        <v>785.35</v>
      </c>
    </row>
    <row r="15" ht="18.0" customHeight="1">
      <c r="A15" s="7" t="s">
        <v>15</v>
      </c>
      <c r="B15" s="2"/>
      <c r="C15" s="2"/>
      <c r="D15" s="2"/>
      <c r="E15" s="2"/>
      <c r="F15" s="2"/>
      <c r="G15" s="2"/>
      <c r="H15" s="2"/>
      <c r="I15" s="3"/>
    </row>
    <row r="16" ht="18.0" customHeight="1">
      <c r="A16" s="8" t="s">
        <v>16</v>
      </c>
      <c r="B16" s="12">
        <v>13.0</v>
      </c>
      <c r="C16" s="36">
        <v>20.56</v>
      </c>
      <c r="D16" s="32">
        <v>135.0</v>
      </c>
      <c r="E16" s="21">
        <f t="shared" ref="E16:E20" si="6">IFERROR(D16*$B$3,"")</f>
        <v>22.95</v>
      </c>
      <c r="F16" s="21">
        <f t="shared" ref="F16:F20" si="7">$B$4</f>
        <v>18</v>
      </c>
      <c r="G16" s="27">
        <f t="shared" ref="G16:G20" si="8">IFERROR(D16-C16-E16-F16,"")</f>
        <v>73.49</v>
      </c>
      <c r="H16" s="37">
        <f t="shared" ref="H16:H20" si="9">IFERROR(G16/D16,"")</f>
        <v>0.5443703704</v>
      </c>
      <c r="I16" s="27">
        <f t="shared" ref="I16:I20" si="10">IFERROR(G16*B16,"")</f>
        <v>955.37</v>
      </c>
    </row>
    <row r="17" ht="18.0" customHeight="1">
      <c r="A17" s="8" t="s">
        <v>18</v>
      </c>
      <c r="B17" s="12">
        <v>7.0</v>
      </c>
      <c r="C17" s="36">
        <v>21.18</v>
      </c>
      <c r="D17" s="32">
        <v>135.0</v>
      </c>
      <c r="E17" s="21">
        <f t="shared" si="6"/>
        <v>22.95</v>
      </c>
      <c r="F17" s="21">
        <f t="shared" si="7"/>
        <v>18</v>
      </c>
      <c r="G17" s="27">
        <f t="shared" si="8"/>
        <v>72.87</v>
      </c>
      <c r="H17" s="37">
        <f t="shared" si="9"/>
        <v>0.5397777778</v>
      </c>
      <c r="I17" s="27">
        <f t="shared" si="10"/>
        <v>510.09</v>
      </c>
    </row>
    <row r="18" ht="18.0" customHeight="1">
      <c r="A18" s="8" t="s">
        <v>20</v>
      </c>
      <c r="B18" s="12">
        <v>13.0</v>
      </c>
      <c r="C18" s="36">
        <v>20.56</v>
      </c>
      <c r="D18" s="32">
        <v>135.0</v>
      </c>
      <c r="E18" s="21">
        <f t="shared" si="6"/>
        <v>22.95</v>
      </c>
      <c r="F18" s="21">
        <f t="shared" si="7"/>
        <v>18</v>
      </c>
      <c r="G18" s="27">
        <f t="shared" si="8"/>
        <v>73.49</v>
      </c>
      <c r="H18" s="37">
        <f t="shared" si="9"/>
        <v>0.5443703704</v>
      </c>
      <c r="I18" s="27">
        <f t="shared" si="10"/>
        <v>955.37</v>
      </c>
    </row>
    <row r="19" ht="18.0" customHeight="1">
      <c r="A19" s="8" t="s">
        <v>21</v>
      </c>
      <c r="B19" s="12">
        <v>34.0</v>
      </c>
      <c r="C19" s="36">
        <v>20.55</v>
      </c>
      <c r="D19" s="32">
        <v>135.0</v>
      </c>
      <c r="E19" s="21">
        <f t="shared" si="6"/>
        <v>22.95</v>
      </c>
      <c r="F19" s="21">
        <f t="shared" si="7"/>
        <v>18</v>
      </c>
      <c r="G19" s="27">
        <f t="shared" si="8"/>
        <v>73.5</v>
      </c>
      <c r="H19" s="37">
        <f t="shared" si="9"/>
        <v>0.5444444444</v>
      </c>
      <c r="I19" s="27">
        <f t="shared" si="10"/>
        <v>2499</v>
      </c>
    </row>
    <row r="20" ht="18.0" customHeight="1">
      <c r="A20" s="8" t="s">
        <v>22</v>
      </c>
      <c r="B20" s="12">
        <v>11.0</v>
      </c>
      <c r="C20" s="36">
        <v>13.42</v>
      </c>
      <c r="D20" s="32">
        <v>135.0</v>
      </c>
      <c r="E20" s="21">
        <f t="shared" si="6"/>
        <v>22.95</v>
      </c>
      <c r="F20" s="21">
        <f t="shared" si="7"/>
        <v>18</v>
      </c>
      <c r="G20" s="27">
        <f t="shared" si="8"/>
        <v>80.63</v>
      </c>
      <c r="H20" s="37">
        <f t="shared" si="9"/>
        <v>0.5972592593</v>
      </c>
      <c r="I20" s="27">
        <f t="shared" si="10"/>
        <v>886.93</v>
      </c>
    </row>
    <row r="21" ht="18.0" customHeight="1">
      <c r="A21" s="7" t="s">
        <v>24</v>
      </c>
      <c r="B21" s="2"/>
      <c r="C21" s="2"/>
      <c r="D21" s="2"/>
      <c r="E21" s="2"/>
      <c r="F21" s="2"/>
      <c r="G21" s="2"/>
      <c r="H21" s="2"/>
      <c r="I21" s="3"/>
    </row>
    <row r="22" ht="18.0" customHeight="1">
      <c r="A22" s="8" t="s">
        <v>25</v>
      </c>
      <c r="B22" s="12">
        <v>5.0</v>
      </c>
      <c r="C22" s="36">
        <v>13.67</v>
      </c>
      <c r="D22" s="32">
        <v>45.0</v>
      </c>
      <c r="E22" s="21">
        <f t="shared" ref="E22:E23" si="11">IFERROR(D22*$B$3,"")</f>
        <v>7.65</v>
      </c>
      <c r="F22" s="38">
        <v>0.0</v>
      </c>
      <c r="G22" s="27">
        <f t="shared" ref="G22:G23" si="12">IFERROR(D22-C22-E22-F22,"")</f>
        <v>23.68</v>
      </c>
      <c r="H22" s="37">
        <f t="shared" ref="H22:H23" si="13">IFERROR(G22/D22,"")</f>
        <v>0.5262222222</v>
      </c>
      <c r="I22" s="27">
        <f t="shared" ref="I22:I23" si="14">IFERROR(G22*B22,"")</f>
        <v>118.4</v>
      </c>
    </row>
    <row r="23" ht="18.0" customHeight="1">
      <c r="A23" s="8" t="s">
        <v>27</v>
      </c>
      <c r="B23" s="12">
        <v>5.0</v>
      </c>
      <c r="C23" s="36">
        <v>12.56</v>
      </c>
      <c r="D23" s="32">
        <v>45.0</v>
      </c>
      <c r="E23" s="21">
        <f t="shared" si="11"/>
        <v>7.65</v>
      </c>
      <c r="F23" s="38">
        <v>0.0</v>
      </c>
      <c r="G23" s="27">
        <f t="shared" si="12"/>
        <v>24.79</v>
      </c>
      <c r="H23" s="37">
        <f t="shared" si="13"/>
        <v>0.5508888889</v>
      </c>
      <c r="I23" s="27">
        <f t="shared" si="14"/>
        <v>123.95</v>
      </c>
    </row>
    <row r="24" ht="18.0" customHeight="1">
      <c r="A24" s="7" t="s">
        <v>28</v>
      </c>
      <c r="B24" s="2"/>
      <c r="C24" s="2"/>
      <c r="D24" s="2"/>
      <c r="E24" s="2"/>
      <c r="F24" s="2"/>
      <c r="G24" s="2"/>
      <c r="H24" s="2"/>
      <c r="I24" s="3"/>
    </row>
    <row r="25" ht="18.0" customHeight="1">
      <c r="A25" s="8" t="s">
        <v>29</v>
      </c>
      <c r="B25" s="12">
        <v>5.0</v>
      </c>
      <c r="C25" s="36">
        <v>7.91</v>
      </c>
      <c r="D25" s="32">
        <v>90.0</v>
      </c>
      <c r="E25" s="21">
        <f t="shared" ref="E25:E27" si="15">IFERROR(D25*$B$3,"")</f>
        <v>15.3</v>
      </c>
      <c r="F25" s="21">
        <f t="shared" ref="F25:F27" si="16">$B$4</f>
        <v>18</v>
      </c>
      <c r="G25" s="27">
        <f t="shared" ref="G25:G27" si="17">IFERROR(D25-C25-E25-F25,"")</f>
        <v>48.79</v>
      </c>
      <c r="H25" s="37">
        <f t="shared" ref="H25:H27" si="18">IFERROR(G25/D25,"")</f>
        <v>0.5421111111</v>
      </c>
      <c r="I25" s="27">
        <f t="shared" ref="I25:I27" si="19">IFERROR(G25*B25,"")</f>
        <v>243.95</v>
      </c>
    </row>
    <row r="26" ht="18.0" customHeight="1">
      <c r="A26" s="8" t="s">
        <v>30</v>
      </c>
      <c r="B26" s="12">
        <v>5.0</v>
      </c>
      <c r="C26" s="36">
        <v>7.91</v>
      </c>
      <c r="D26" s="32">
        <v>90.0</v>
      </c>
      <c r="E26" s="21">
        <f t="shared" si="15"/>
        <v>15.3</v>
      </c>
      <c r="F26" s="21">
        <f t="shared" si="16"/>
        <v>18</v>
      </c>
      <c r="G26" s="27">
        <f t="shared" si="17"/>
        <v>48.79</v>
      </c>
      <c r="H26" s="37">
        <f t="shared" si="18"/>
        <v>0.5421111111</v>
      </c>
      <c r="I26" s="27">
        <f t="shared" si="19"/>
        <v>243.95</v>
      </c>
    </row>
    <row r="27" ht="18.0" customHeight="1">
      <c r="A27" s="8" t="s">
        <v>31</v>
      </c>
      <c r="B27" s="12">
        <v>10.0</v>
      </c>
      <c r="C27" s="36">
        <v>7.41</v>
      </c>
      <c r="D27" s="32">
        <v>90.0</v>
      </c>
      <c r="E27" s="21">
        <f t="shared" si="15"/>
        <v>15.3</v>
      </c>
      <c r="F27" s="21">
        <f t="shared" si="16"/>
        <v>18</v>
      </c>
      <c r="G27" s="27">
        <f t="shared" si="17"/>
        <v>49.29</v>
      </c>
      <c r="H27" s="37">
        <f t="shared" si="18"/>
        <v>0.5476666667</v>
      </c>
      <c r="I27" s="27">
        <f t="shared" si="19"/>
        <v>492.9</v>
      </c>
    </row>
    <row r="28" ht="18.0" customHeight="1">
      <c r="A28" s="7" t="s">
        <v>32</v>
      </c>
      <c r="B28" s="2"/>
      <c r="C28" s="2"/>
      <c r="D28" s="2"/>
      <c r="E28" s="2"/>
      <c r="F28" s="2"/>
      <c r="G28" s="2"/>
      <c r="H28" s="2"/>
      <c r="I28" s="3"/>
    </row>
    <row r="29" ht="18.0" customHeight="1">
      <c r="A29" s="8" t="s">
        <v>33</v>
      </c>
      <c r="B29" s="12">
        <v>1.0</v>
      </c>
      <c r="C29" s="36">
        <v>36.9</v>
      </c>
      <c r="D29" s="32">
        <v>85.0</v>
      </c>
      <c r="E29" s="21">
        <f t="shared" ref="E29:E31" si="20">IFERROR(D29*$B$3,"")</f>
        <v>14.45</v>
      </c>
      <c r="F29" s="21">
        <f t="shared" ref="F29:F31" si="21">$B$4</f>
        <v>18</v>
      </c>
      <c r="G29" s="27">
        <f t="shared" ref="G29:G31" si="22">IFERROR(D29-C29-E29-F29,"")</f>
        <v>15.65</v>
      </c>
      <c r="H29" s="37">
        <f t="shared" ref="H29:H31" si="23">IFERROR(G29/D29,"")</f>
        <v>0.1841176471</v>
      </c>
      <c r="I29" s="27">
        <f t="shared" ref="I29:I31" si="24">IFERROR(G29*B29,"")</f>
        <v>15.65</v>
      </c>
    </row>
    <row r="30" ht="18.0" customHeight="1">
      <c r="A30" s="8" t="s">
        <v>34</v>
      </c>
      <c r="B30" s="12">
        <v>1.0</v>
      </c>
      <c r="C30" s="36">
        <v>36.9</v>
      </c>
      <c r="D30" s="32">
        <v>85.0</v>
      </c>
      <c r="E30" s="21">
        <f t="shared" si="20"/>
        <v>14.45</v>
      </c>
      <c r="F30" s="21">
        <f t="shared" si="21"/>
        <v>18</v>
      </c>
      <c r="G30" s="27">
        <f t="shared" si="22"/>
        <v>15.65</v>
      </c>
      <c r="H30" s="37">
        <f t="shared" si="23"/>
        <v>0.1841176471</v>
      </c>
      <c r="I30" s="27">
        <f t="shared" si="24"/>
        <v>15.65</v>
      </c>
    </row>
    <row r="31" ht="18.0" customHeight="1">
      <c r="A31" s="8" t="s">
        <v>35</v>
      </c>
      <c r="B31" s="12">
        <v>2.0</v>
      </c>
      <c r="C31" s="36">
        <v>36.9</v>
      </c>
      <c r="D31" s="32">
        <v>85.0</v>
      </c>
      <c r="E31" s="21">
        <f t="shared" si="20"/>
        <v>14.45</v>
      </c>
      <c r="F31" s="21">
        <f t="shared" si="21"/>
        <v>18</v>
      </c>
      <c r="G31" s="27">
        <f t="shared" si="22"/>
        <v>15.65</v>
      </c>
      <c r="H31" s="37">
        <f t="shared" si="23"/>
        <v>0.1841176471</v>
      </c>
      <c r="I31" s="27">
        <f t="shared" si="24"/>
        <v>31.3</v>
      </c>
    </row>
    <row r="32" ht="18.0" customHeight="1">
      <c r="A32" s="7" t="s">
        <v>36</v>
      </c>
      <c r="B32" s="2"/>
      <c r="C32" s="2"/>
      <c r="D32" s="2"/>
      <c r="E32" s="2"/>
      <c r="F32" s="2"/>
      <c r="G32" s="2"/>
      <c r="H32" s="2"/>
      <c r="I32" s="3"/>
    </row>
    <row r="33" ht="18.0" customHeight="1">
      <c r="A33" s="8" t="s">
        <v>37</v>
      </c>
      <c r="B33" s="12">
        <v>1.0</v>
      </c>
      <c r="C33" s="36">
        <v>60.03</v>
      </c>
      <c r="D33" s="32">
        <v>120.0</v>
      </c>
      <c r="E33" s="21">
        <f t="shared" ref="E33:E35" si="25">IFERROR(D33*$B$3,"")</f>
        <v>20.4</v>
      </c>
      <c r="F33" s="21">
        <f t="shared" ref="F33:F35" si="26">$B$4</f>
        <v>18</v>
      </c>
      <c r="G33" s="27">
        <f t="shared" ref="G33:G35" si="27">IFERROR(D33-C33-E33-F33,"")</f>
        <v>21.57</v>
      </c>
      <c r="H33" s="37">
        <f t="shared" ref="H33:H35" si="28">IFERROR(G33/D33,"")</f>
        <v>0.17975</v>
      </c>
      <c r="I33" s="27">
        <f t="shared" ref="I33:I35" si="29">IFERROR(G33*B33,"")</f>
        <v>21.57</v>
      </c>
    </row>
    <row r="34" ht="18.0" customHeight="1">
      <c r="A34" s="8" t="s">
        <v>38</v>
      </c>
      <c r="B34" s="12">
        <v>1.0</v>
      </c>
      <c r="C34" s="36">
        <v>60.03</v>
      </c>
      <c r="D34" s="32">
        <v>120.0</v>
      </c>
      <c r="E34" s="21">
        <f t="shared" si="25"/>
        <v>20.4</v>
      </c>
      <c r="F34" s="21">
        <f t="shared" si="26"/>
        <v>18</v>
      </c>
      <c r="G34" s="27">
        <f t="shared" si="27"/>
        <v>21.57</v>
      </c>
      <c r="H34" s="37">
        <f t="shared" si="28"/>
        <v>0.17975</v>
      </c>
      <c r="I34" s="27">
        <f t="shared" si="29"/>
        <v>21.57</v>
      </c>
    </row>
    <row r="35" ht="18.0" customHeight="1">
      <c r="A35" s="8" t="s">
        <v>39</v>
      </c>
      <c r="B35" s="12">
        <v>3.0</v>
      </c>
      <c r="C35" s="36">
        <v>60.03</v>
      </c>
      <c r="D35" s="32">
        <v>120.0</v>
      </c>
      <c r="E35" s="21">
        <f t="shared" si="25"/>
        <v>20.4</v>
      </c>
      <c r="F35" s="21">
        <f t="shared" si="26"/>
        <v>18</v>
      </c>
      <c r="G35" s="27">
        <f t="shared" si="27"/>
        <v>21.57</v>
      </c>
      <c r="H35" s="37">
        <f t="shared" si="28"/>
        <v>0.17975</v>
      </c>
      <c r="I35" s="27">
        <f t="shared" si="29"/>
        <v>64.71</v>
      </c>
    </row>
    <row r="36" ht="18.0" customHeight="1">
      <c r="A36" s="7" t="s">
        <v>40</v>
      </c>
      <c r="B36" s="2"/>
      <c r="C36" s="2"/>
      <c r="D36" s="2"/>
      <c r="E36" s="2"/>
      <c r="F36" s="2"/>
      <c r="G36" s="2"/>
      <c r="H36" s="2"/>
      <c r="I36" s="3"/>
    </row>
    <row r="37" ht="18.0" customHeight="1">
      <c r="A37" s="8" t="s">
        <v>41</v>
      </c>
      <c r="B37" s="12">
        <v>1.0</v>
      </c>
      <c r="C37" s="36">
        <v>150.99</v>
      </c>
      <c r="D37" s="32">
        <v>800.0</v>
      </c>
      <c r="E37" s="21">
        <f t="shared" ref="E37:E38" si="30">IFERROR(D37*$B$3,"")</f>
        <v>136</v>
      </c>
      <c r="F37" s="21">
        <f t="shared" ref="F37:F38" si="31">$B$4</f>
        <v>18</v>
      </c>
      <c r="G37" s="27">
        <f t="shared" ref="G37:G38" si="32">IFERROR(D37-C37-E37-F37,"")</f>
        <v>495.01</v>
      </c>
      <c r="H37" s="37">
        <f t="shared" ref="H37:H38" si="33">IFERROR(G37/D37,"")</f>
        <v>0.6187625</v>
      </c>
      <c r="I37" s="27">
        <f t="shared" ref="I37:I38" si="34">IFERROR(G37*B37,"")</f>
        <v>495.01</v>
      </c>
    </row>
    <row r="38" ht="18.0" customHeight="1">
      <c r="A38" s="8" t="s">
        <v>42</v>
      </c>
      <c r="B38" s="12">
        <v>1.0</v>
      </c>
      <c r="C38" s="36">
        <v>64.02</v>
      </c>
      <c r="D38" s="32">
        <v>200.0</v>
      </c>
      <c r="E38" s="21">
        <f t="shared" si="30"/>
        <v>34</v>
      </c>
      <c r="F38" s="21">
        <f t="shared" si="31"/>
        <v>18</v>
      </c>
      <c r="G38" s="27">
        <f t="shared" si="32"/>
        <v>83.98</v>
      </c>
      <c r="H38" s="37">
        <f t="shared" si="33"/>
        <v>0.4199</v>
      </c>
      <c r="I38" s="27">
        <f t="shared" si="34"/>
        <v>83.98</v>
      </c>
    </row>
    <row r="39" ht="6.0" customHeight="1">
      <c r="A39" s="5"/>
      <c r="B39" s="5"/>
      <c r="C39" s="5"/>
      <c r="D39" s="5"/>
      <c r="E39" s="5"/>
      <c r="F39" s="5"/>
      <c r="G39" s="5"/>
      <c r="H39" s="5"/>
      <c r="I39" s="5"/>
    </row>
    <row r="40" ht="21.75" customHeight="1">
      <c r="A40" s="28" t="s">
        <v>83</v>
      </c>
      <c r="B40" s="2"/>
      <c r="C40" s="2"/>
      <c r="D40" s="2"/>
      <c r="E40" s="2"/>
      <c r="F40" s="2"/>
      <c r="G40" s="2"/>
      <c r="H40" s="29"/>
      <c r="I40" s="30">
        <f>IFERROR(SUM(I13,I14,I16,I17,I18,I19,I20,I22,I23,I25,I26,I27,I29,I30,I31,I33,I34,I35,I37,I38),"")</f>
        <v>11864.5</v>
      </c>
    </row>
    <row r="41" ht="15.75" customHeight="1"/>
    <row r="42" ht="30.0" customHeight="1">
      <c r="A42" s="39" t="s">
        <v>84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28:I28"/>
    <mergeCell ref="A32:I32"/>
    <mergeCell ref="A40:H40"/>
    <mergeCell ref="A42:I42"/>
    <mergeCell ref="A36:I36"/>
    <mergeCell ref="A1:I1"/>
    <mergeCell ref="A2:I2"/>
    <mergeCell ref="A6:I6"/>
    <mergeCell ref="A12:I12"/>
    <mergeCell ref="A15:I15"/>
    <mergeCell ref="A21:I21"/>
    <mergeCell ref="A24:I24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6.0"/>
    <col customWidth="1" min="2" max="3" width="20.0"/>
    <col customWidth="1" min="4" max="4" width="26.0"/>
    <col customWidth="1" min="5" max="26" width="8.71"/>
  </cols>
  <sheetData>
    <row r="1" ht="30.0" customHeight="1">
      <c r="A1" s="1" t="s">
        <v>85</v>
      </c>
      <c r="B1" s="2"/>
      <c r="C1" s="2"/>
      <c r="D1" s="3"/>
    </row>
    <row r="2" ht="31.5" customHeight="1">
      <c r="A2" s="6" t="s">
        <v>86</v>
      </c>
      <c r="B2" s="6" t="s">
        <v>87</v>
      </c>
      <c r="C2" s="6" t="s">
        <v>88</v>
      </c>
      <c r="D2" s="6" t="s">
        <v>89</v>
      </c>
    </row>
    <row r="3" ht="18.0" customHeight="1">
      <c r="A3" s="7" t="s">
        <v>90</v>
      </c>
      <c r="B3" s="2"/>
      <c r="C3" s="2"/>
      <c r="D3" s="3"/>
    </row>
    <row r="4" ht="19.5" customHeight="1">
      <c r="A4" s="8" t="s">
        <v>91</v>
      </c>
      <c r="B4" s="21">
        <f>'2. Custos Detalhados'!H47</f>
        <v>3792.591667</v>
      </c>
      <c r="C4" s="40">
        <f>IFERROR(B3/B9,"")</f>
        <v>0</v>
      </c>
      <c r="D4" s="34" t="s">
        <v>92</v>
      </c>
    </row>
    <row r="5" ht="19.5" customHeight="1">
      <c r="A5" s="8" t="s">
        <v>93</v>
      </c>
      <c r="B5" s="25"/>
      <c r="C5" s="40">
        <f>IFERROR(B4/B9,"")</f>
        <v>0.1716493173</v>
      </c>
      <c r="D5" s="34" t="s">
        <v>94</v>
      </c>
    </row>
    <row r="6" ht="19.5" customHeight="1">
      <c r="A6" s="41" t="s">
        <v>95</v>
      </c>
      <c r="B6" s="42">
        <f>IFERROR(B3+B4,"")</f>
        <v>3792.591667</v>
      </c>
      <c r="C6" s="43">
        <f>IFERROR(B5/B9,"")</f>
        <v>0</v>
      </c>
      <c r="D6" s="44"/>
    </row>
    <row r="7" ht="7.5" customHeight="1">
      <c r="A7" s="5"/>
      <c r="B7" s="5"/>
      <c r="C7" s="5"/>
      <c r="D7" s="5"/>
    </row>
    <row r="8" ht="18.0" customHeight="1">
      <c r="A8" s="7" t="s">
        <v>96</v>
      </c>
      <c r="B8" s="2"/>
      <c r="C8" s="2"/>
      <c r="D8" s="3"/>
    </row>
    <row r="9" ht="19.5" customHeight="1">
      <c r="A9" s="8" t="s">
        <v>97</v>
      </c>
      <c r="B9" s="21">
        <f>IFERROR(SUMPRODUCT('3. Precificação e Margem'!D13:D38,'3. Precificação e Margem'!B13:B38),"")</f>
        <v>22095</v>
      </c>
      <c r="C9" s="40" t="s">
        <v>98</v>
      </c>
      <c r="D9" s="34" t="s">
        <v>99</v>
      </c>
    </row>
    <row r="10" ht="19.5" customHeight="1">
      <c r="A10" s="8" t="s">
        <v>100</v>
      </c>
      <c r="B10" s="21">
        <f>IFERROR(SUMPRODUCT('3. Precificação e Margem'!E13:E38,'3. Precificação e Margem'!B13:B38),"")</f>
        <v>3756.15</v>
      </c>
      <c r="C10" s="40">
        <f>IFERROR(B10/B9,"")</f>
        <v>0.17</v>
      </c>
      <c r="D10" s="34" t="s">
        <v>101</v>
      </c>
    </row>
    <row r="11" ht="19.5" customHeight="1">
      <c r="A11" s="8" t="s">
        <v>102</v>
      </c>
      <c r="B11" s="21">
        <f>IFERROR(SUMPRODUCT('3. Precificação e Margem'!F13:F38,'3. Precificação e Margem'!B13:B38),"")</f>
        <v>2682</v>
      </c>
      <c r="C11" s="40">
        <f>IFERROR(B11/B9,"")</f>
        <v>0.1213849287</v>
      </c>
      <c r="D11" s="34" t="s">
        <v>103</v>
      </c>
    </row>
    <row r="12" ht="19.5" customHeight="1">
      <c r="A12" s="41" t="s">
        <v>104</v>
      </c>
      <c r="B12" s="42">
        <f>IFERROR(B9-B10-B11,"")</f>
        <v>15656.85</v>
      </c>
      <c r="C12" s="43">
        <f>IFERROR(B12/B9,"")</f>
        <v>0.7086150713</v>
      </c>
      <c r="D12" s="44"/>
    </row>
    <row r="13" ht="7.5" customHeight="1">
      <c r="A13" s="5"/>
      <c r="B13" s="5"/>
      <c r="C13" s="5"/>
      <c r="D13" s="5"/>
    </row>
    <row r="14" ht="18.0" customHeight="1">
      <c r="A14" s="7" t="s">
        <v>105</v>
      </c>
      <c r="B14" s="2"/>
      <c r="C14" s="2"/>
      <c r="D14" s="3"/>
    </row>
    <row r="15" ht="19.5" customHeight="1">
      <c r="A15" s="14" t="s">
        <v>106</v>
      </c>
      <c r="B15" s="30">
        <f>IFERROR(B12-B5,"")</f>
        <v>15656.85</v>
      </c>
      <c r="C15" s="45">
        <f>IFERROR(B14/B9,"")</f>
        <v>0</v>
      </c>
      <c r="D15" s="46" t="s">
        <v>107</v>
      </c>
    </row>
    <row r="16" ht="7.5" customHeight="1">
      <c r="A16" s="5"/>
      <c r="B16" s="5"/>
      <c r="C16" s="5"/>
      <c r="D16" s="5"/>
    </row>
    <row r="17" ht="18.0" customHeight="1">
      <c r="A17" s="7" t="s">
        <v>108</v>
      </c>
      <c r="B17" s="2"/>
      <c r="C17" s="2"/>
      <c r="D17" s="3"/>
    </row>
    <row r="18" ht="19.5" customHeight="1">
      <c r="A18" s="8" t="s">
        <v>109</v>
      </c>
      <c r="B18" s="21">
        <f>IFERROR(B14*0.5,"")</f>
        <v>0</v>
      </c>
      <c r="C18" s="40"/>
      <c r="D18" s="34" t="s">
        <v>110</v>
      </c>
    </row>
    <row r="19" ht="19.5" customHeight="1">
      <c r="A19" s="8" t="s">
        <v>111</v>
      </c>
      <c r="B19" s="21">
        <f>IFERROR(B14*0.5,"")</f>
        <v>0</v>
      </c>
      <c r="C19" s="40"/>
      <c r="D19" s="34" t="s">
        <v>110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D1"/>
    <mergeCell ref="A3:D3"/>
    <mergeCell ref="A8:D8"/>
    <mergeCell ref="A14:D14"/>
    <mergeCell ref="A17:D17"/>
  </mergeCells>
  <printOptions/>
  <pageMargins bottom="1.0" footer="0.0" header="0.0" left="0.75" right="0.75" top="1.0"/>
  <pageSetup paperSize="9" orientation="portrait"/>
  <drawing r:id="rId1"/>
</worksheet>
</file>